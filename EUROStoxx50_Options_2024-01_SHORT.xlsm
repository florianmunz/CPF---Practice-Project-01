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A8AEBC96-B0E2-60E0-E325-6F3CC3B7FEDF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35c41b811a3468f6/02 Personal/28 ETH Quant Finance/00 CPF Python Finance/08 Practice Projects/06 CF Calibration/"/>
    </mc:Choice>
  </mc:AlternateContent>
  <xr:revisionPtr revIDLastSave="7750" documentId="13_ncr:40009_{7DE0EEF1-89C9-45E7-9FDB-BD19B6A08CF4}" xr6:coauthVersionLast="47" xr6:coauthVersionMax="47" xr10:uidLastSave="{425C951A-29D2-40D1-8211-915B590D2664}"/>
  <bookViews>
    <workbookView xWindow="2310" yWindow="510" windowWidth="48885" windowHeight="19635" activeTab="3" xr2:uid="{00000000-000D-0000-FFFF-FFFF00000000}"/>
  </bookViews>
  <sheets>
    <sheet name="Pricing" sheetId="4" r:id="rId1"/>
    <sheet name="Vola - EUROStoxx50_Options" sheetId="6" r:id="rId2"/>
    <sheet name="Imp_Vol - EUROStoxx50_Options" sheetId="5" r:id="rId3"/>
    <sheet name="EUROStoxx50_Options_2024-01_SHO" sheetId="1" r:id="rId4"/>
    <sheet name="Calls" sheetId="2" r:id="rId5"/>
    <sheet name="Puts" sheetId="3" r:id="rId6"/>
  </sheets>
  <definedNames>
    <definedName name="_xlnm._FilterDatabase" localSheetId="3" hidden="1">'EUROStoxx50_Options_2024-01_SHO'!$A$1:$U$106</definedName>
    <definedName name="_xlnm._FilterDatabase" localSheetId="2" hidden="1">'Imp_Vol - EUROStoxx50_Options'!$A$1:$U$106</definedName>
    <definedName name="_xlnm._FilterDatabase" localSheetId="1" hidden="1">'Vola - EUROStoxx50_Options'!$A$1:$U$106</definedName>
    <definedName name="solver_adj" localSheetId="2" hidden="1">'Imp_Vol - EUROStoxx50_Options'!$X$56</definedName>
    <definedName name="solver_adj" localSheetId="1" hidden="1">'Vola - EUROStoxx50_Options'!$X$104</definedName>
    <definedName name="solver_cvg" localSheetId="2" hidden="1">0.0001</definedName>
    <definedName name="solver_cvg" localSheetId="1" hidden="1">0.0001</definedName>
    <definedName name="solver_drv" localSheetId="2" hidden="1">2</definedName>
    <definedName name="solver_drv" localSheetId="1" hidden="1">2</definedName>
    <definedName name="solver_eng" localSheetId="2" hidden="1">1</definedName>
    <definedName name="solver_eng" localSheetId="1" hidden="1">1</definedName>
    <definedName name="solver_est" localSheetId="2" hidden="1">1</definedName>
    <definedName name="solver_est" localSheetId="1" hidden="1">1</definedName>
    <definedName name="solver_itr" localSheetId="2" hidden="1">2147483647</definedName>
    <definedName name="solver_itr" localSheetId="1" hidden="1">2147483647</definedName>
    <definedName name="solver_lhs1" localSheetId="2" hidden="1">'Imp_Vol - EUROStoxx50_Options'!$X$89</definedName>
    <definedName name="solver_lhs1" localSheetId="1" hidden="1">'Vola - EUROStoxx50_Options'!$X$61</definedName>
    <definedName name="solver_mip" localSheetId="2" hidden="1">2147483647</definedName>
    <definedName name="solver_mip" localSheetId="1" hidden="1">2147483647</definedName>
    <definedName name="solver_mni" localSheetId="2" hidden="1">30</definedName>
    <definedName name="solver_mni" localSheetId="1" hidden="1">30</definedName>
    <definedName name="solver_mrt" localSheetId="2" hidden="1">0.075</definedName>
    <definedName name="solver_mrt" localSheetId="1" hidden="1">0.075</definedName>
    <definedName name="solver_msl" localSheetId="2" hidden="1">2</definedName>
    <definedName name="solver_msl" localSheetId="1" hidden="1">2</definedName>
    <definedName name="solver_neg" localSheetId="2" hidden="1">1</definedName>
    <definedName name="solver_neg" localSheetId="1" hidden="1">1</definedName>
    <definedName name="solver_nod" localSheetId="2" hidden="1">2147483647</definedName>
    <definedName name="solver_nod" localSheetId="1" hidden="1">2147483647</definedName>
    <definedName name="solver_num" localSheetId="2" hidden="1">0</definedName>
    <definedName name="solver_num" localSheetId="1" hidden="1">0</definedName>
    <definedName name="solver_nwt" localSheetId="2" hidden="1">1</definedName>
    <definedName name="solver_nwt" localSheetId="1" hidden="1">1</definedName>
    <definedName name="solver_opt" localSheetId="2" hidden="1">'Imp_Vol - EUROStoxx50_Options'!$AO$56</definedName>
    <definedName name="solver_opt" localSheetId="1" hidden="1">'Vola - EUROStoxx50_Options'!$AO$104</definedName>
    <definedName name="solver_pre" localSheetId="2" hidden="1">0.00001</definedName>
    <definedName name="solver_pre" localSheetId="1" hidden="1">0.000001</definedName>
    <definedName name="solver_rbv" localSheetId="2" hidden="1">2</definedName>
    <definedName name="solver_rbv" localSheetId="1" hidden="1">2</definedName>
    <definedName name="solver_rel1" localSheetId="2" hidden="1">3</definedName>
    <definedName name="solver_rel1" localSheetId="1" hidden="1">3</definedName>
    <definedName name="solver_rhs1" localSheetId="2" hidden="1">0</definedName>
    <definedName name="solver_rhs1" localSheetId="1" hidden="1">0</definedName>
    <definedName name="solver_rlx" localSheetId="2" hidden="1">2</definedName>
    <definedName name="solver_rlx" localSheetId="1" hidden="1">2</definedName>
    <definedName name="solver_rsd" localSheetId="2" hidden="1">0</definedName>
    <definedName name="solver_rsd" localSheetId="1" hidden="1">0</definedName>
    <definedName name="solver_scl" localSheetId="2" hidden="1">2</definedName>
    <definedName name="solver_scl" localSheetId="1" hidden="1">2</definedName>
    <definedName name="solver_sho" localSheetId="2" hidden="1">2</definedName>
    <definedName name="solver_sho" localSheetId="1" hidden="1">2</definedName>
    <definedName name="solver_ssz" localSheetId="2" hidden="1">100</definedName>
    <definedName name="solver_ssz" localSheetId="1" hidden="1">100</definedName>
    <definedName name="solver_tim" localSheetId="2" hidden="1">2147483647</definedName>
    <definedName name="solver_tim" localSheetId="1" hidden="1">2147483647</definedName>
    <definedName name="solver_tol" localSheetId="2" hidden="1">0.01</definedName>
    <definedName name="solver_tol" localSheetId="1" hidden="1">0.01</definedName>
    <definedName name="solver_typ" localSheetId="2" hidden="1">3</definedName>
    <definedName name="solver_typ" localSheetId="1" hidden="1">3</definedName>
    <definedName name="solver_val" localSheetId="2" hidden="1">0</definedName>
    <definedName name="solver_val" localSheetId="1" hidden="1">0</definedName>
    <definedName name="solver_ver" localSheetId="2" hidden="1">3</definedName>
    <definedName name="solver_ver" localSheetId="1" hidden="1">3</definedName>
  </definedNames>
  <calcPr calcId="191028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FD1048550" i="5" l="1"/>
  <c r="XFD1048551" i="5"/>
  <c r="XFD1048552" i="5"/>
  <c r="XFD1048553" i="5"/>
  <c r="XFD1048554" i="5"/>
  <c r="XFD1048555" i="5" a="1"/>
  <c r="XFD1048555" i="5" s="1"/>
  <c r="XFD1048556" i="5"/>
  <c r="XFD1048557" i="5"/>
  <c r="XFD1048558" i="5"/>
  <c r="XFD1048559" i="5"/>
  <c r="XFD1048560" i="5"/>
  <c r="XFD1048561" i="5"/>
  <c r="XFD1048562" i="5" a="1"/>
  <c r="XFD1048562" i="5" s="1"/>
  <c r="XFD1048563" i="5" a="1"/>
  <c r="XFD1048563" i="5"/>
  <c r="XFD1048564" i="5" a="1"/>
  <c r="XFD1048564" i="5" s="1"/>
  <c r="XFD1048565" i="5" a="1"/>
  <c r="XFD1048565" i="5" s="1"/>
  <c r="XFD1048566" i="5" a="1"/>
  <c r="XFD1048566" i="5" s="1"/>
  <c r="XFD1048567" i="5" a="1"/>
  <c r="XFD1048567" i="5"/>
  <c r="XFD1048568" i="5" a="1"/>
  <c r="XFD1048568" i="5" s="1"/>
  <c r="XFD1048569" i="5" a="1"/>
  <c r="XFD1048569" i="5" s="1"/>
  <c r="XFD1048570" i="5" a="1"/>
  <c r="XFD1048570" i="5" s="1"/>
  <c r="XFD1048571" i="5" a="1"/>
  <c r="XFD1048571" i="5"/>
  <c r="XFD1048572" i="5" a="1"/>
  <c r="XFD1048572" i="5" s="1"/>
  <c r="XFD1048573" i="5" a="1"/>
  <c r="XFD1048573" i="5" s="1"/>
  <c r="XFD1048574" i="5" a="1"/>
  <c r="XFD1048574" i="5" s="1"/>
  <c r="XFD1048575" i="5" a="1"/>
  <c r="XFD1048575" i="5"/>
  <c r="AS106" i="6"/>
  <c r="AR106" i="6"/>
  <c r="AN106" i="6"/>
  <c r="AM106" i="6"/>
  <c r="AJ106" i="6"/>
  <c r="AF106" i="6"/>
  <c r="Z106" i="6"/>
  <c r="Y106" i="6"/>
  <c r="V106" i="6"/>
  <c r="AB106" i="6" s="1"/>
  <c r="AS105" i="6"/>
  <c r="AR105" i="6"/>
  <c r="AN105" i="6"/>
  <c r="AM105" i="6"/>
  <c r="AK105" i="6"/>
  <c r="Y105" i="6"/>
  <c r="V105" i="6"/>
  <c r="AA105" i="6" s="1"/>
  <c r="AS104" i="6"/>
  <c r="AR104" i="6"/>
  <c r="AN104" i="6"/>
  <c r="AM104" i="6"/>
  <c r="AJ104" i="6"/>
  <c r="AF104" i="6"/>
  <c r="Z104" i="6"/>
  <c r="Y104" i="6"/>
  <c r="V104" i="6"/>
  <c r="AB104" i="6" s="1"/>
  <c r="AS103" i="6"/>
  <c r="AR103" i="6"/>
  <c r="AN103" i="6"/>
  <c r="AM103" i="6"/>
  <c r="AK103" i="6"/>
  <c r="AF103" i="6"/>
  <c r="Z103" i="6"/>
  <c r="Y103" i="6"/>
  <c r="V103" i="6"/>
  <c r="AB103" i="6" s="1"/>
  <c r="AS102" i="6"/>
  <c r="AR102" i="6"/>
  <c r="AN102" i="6"/>
  <c r="AM102" i="6"/>
  <c r="AJ102" i="6"/>
  <c r="AF102" i="6"/>
  <c r="Z102" i="6"/>
  <c r="Y102" i="6"/>
  <c r="V102" i="6"/>
  <c r="AB102" i="6" s="1"/>
  <c r="AS101" i="6"/>
  <c r="AR101" i="6"/>
  <c r="AN101" i="6"/>
  <c r="AM101" i="6"/>
  <c r="AK101" i="6"/>
  <c r="Z101" i="6"/>
  <c r="Y101" i="6"/>
  <c r="V101" i="6"/>
  <c r="AP101" i="6" s="1"/>
  <c r="AS100" i="6"/>
  <c r="AR100" i="6"/>
  <c r="AN100" i="6"/>
  <c r="AM100" i="6"/>
  <c r="AJ100" i="6"/>
  <c r="AF100" i="6"/>
  <c r="Z100" i="6"/>
  <c r="Y100" i="6"/>
  <c r="V100" i="6"/>
  <c r="AB100" i="6" s="1"/>
  <c r="AS99" i="6"/>
  <c r="AR99" i="6"/>
  <c r="AN99" i="6"/>
  <c r="AM99" i="6"/>
  <c r="AK99" i="6"/>
  <c r="AF99" i="6"/>
  <c r="Z99" i="6"/>
  <c r="Y99" i="6"/>
  <c r="V99" i="6"/>
  <c r="AB99" i="6" s="1"/>
  <c r="AS98" i="6"/>
  <c r="AR98" i="6"/>
  <c r="AN98" i="6"/>
  <c r="AM98" i="6"/>
  <c r="AJ98" i="6"/>
  <c r="AF98" i="6"/>
  <c r="Z98" i="6"/>
  <c r="Y98" i="6"/>
  <c r="V98" i="6"/>
  <c r="AP98" i="6" s="1"/>
  <c r="AS97" i="6"/>
  <c r="AR97" i="6"/>
  <c r="AN97" i="6"/>
  <c r="AM97" i="6"/>
  <c r="AK97" i="6"/>
  <c r="Z97" i="6"/>
  <c r="Y97" i="6"/>
  <c r="V97" i="6"/>
  <c r="AA97" i="6" s="1"/>
  <c r="AS96" i="6"/>
  <c r="AR96" i="6"/>
  <c r="AN96" i="6"/>
  <c r="AM96" i="6"/>
  <c r="AJ96" i="6"/>
  <c r="AF96" i="6"/>
  <c r="Z96" i="6"/>
  <c r="Y96" i="6"/>
  <c r="V96" i="6"/>
  <c r="AP96" i="6" s="1"/>
  <c r="AS95" i="6"/>
  <c r="AR95" i="6"/>
  <c r="AN95" i="6"/>
  <c r="AM95" i="6"/>
  <c r="AK95" i="6"/>
  <c r="AF95" i="6"/>
  <c r="Z95" i="6"/>
  <c r="Y95" i="6"/>
  <c r="V95" i="6"/>
  <c r="AB95" i="6" s="1"/>
  <c r="AS94" i="6"/>
  <c r="AR94" i="6"/>
  <c r="AN94" i="6"/>
  <c r="AM94" i="6"/>
  <c r="AJ94" i="6"/>
  <c r="AF94" i="6"/>
  <c r="Z94" i="6"/>
  <c r="Y94" i="6"/>
  <c r="V94" i="6"/>
  <c r="AP94" i="6" s="1"/>
  <c r="AS93" i="6"/>
  <c r="AR93" i="6"/>
  <c r="AN93" i="6"/>
  <c r="AM93" i="6"/>
  <c r="AK93" i="6"/>
  <c r="Z93" i="6"/>
  <c r="Y93" i="6"/>
  <c r="V93" i="6"/>
  <c r="AP93" i="6" s="1"/>
  <c r="AS92" i="6"/>
  <c r="AR92" i="6"/>
  <c r="AN92" i="6"/>
  <c r="AM92" i="6"/>
  <c r="AJ92" i="6"/>
  <c r="AF92" i="6"/>
  <c r="Z92" i="6"/>
  <c r="Y92" i="6"/>
  <c r="V92" i="6"/>
  <c r="AP92" i="6" s="1"/>
  <c r="AS91" i="6"/>
  <c r="AR91" i="6"/>
  <c r="AN91" i="6"/>
  <c r="AM91" i="6"/>
  <c r="AK91" i="6"/>
  <c r="AF91" i="6"/>
  <c r="Z91" i="6"/>
  <c r="Y91" i="6"/>
  <c r="V91" i="6"/>
  <c r="AB91" i="6" s="1"/>
  <c r="AS90" i="6"/>
  <c r="AR90" i="6"/>
  <c r="AN90" i="6"/>
  <c r="AM90" i="6"/>
  <c r="AJ90" i="6"/>
  <c r="AF90" i="6"/>
  <c r="Z90" i="6"/>
  <c r="Y90" i="6"/>
  <c r="V90" i="6"/>
  <c r="AS89" i="6"/>
  <c r="AR89" i="6"/>
  <c r="AN89" i="6"/>
  <c r="AM89" i="6"/>
  <c r="AK89" i="6"/>
  <c r="Z89" i="6"/>
  <c r="Y89" i="6"/>
  <c r="V89" i="6"/>
  <c r="AQ89" i="6" s="1"/>
  <c r="AS88" i="6"/>
  <c r="AR88" i="6"/>
  <c r="AN88" i="6"/>
  <c r="AM88" i="6"/>
  <c r="AJ88" i="6"/>
  <c r="AF88" i="6"/>
  <c r="Z88" i="6"/>
  <c r="Y88" i="6"/>
  <c r="V88" i="6"/>
  <c r="AP88" i="6" s="1"/>
  <c r="AS87" i="6"/>
  <c r="AR87" i="6"/>
  <c r="AN87" i="6"/>
  <c r="AM87" i="6"/>
  <c r="AK87" i="6"/>
  <c r="AF87" i="6"/>
  <c r="Z87" i="6"/>
  <c r="Y87" i="6"/>
  <c r="V87" i="6"/>
  <c r="AB87" i="6" s="1"/>
  <c r="AS86" i="6"/>
  <c r="AR86" i="6"/>
  <c r="AN86" i="6"/>
  <c r="AM86" i="6"/>
  <c r="AJ86" i="6"/>
  <c r="AF86" i="6"/>
  <c r="Z86" i="6"/>
  <c r="Y86" i="6"/>
  <c r="V86" i="6"/>
  <c r="AP86" i="6" s="1"/>
  <c r="AS85" i="6"/>
  <c r="AR85" i="6"/>
  <c r="AN85" i="6"/>
  <c r="AM85" i="6"/>
  <c r="AK85" i="6"/>
  <c r="Z85" i="6"/>
  <c r="Y85" i="6"/>
  <c r="V85" i="6"/>
  <c r="AQ85" i="6" s="1"/>
  <c r="AS84" i="6"/>
  <c r="AR84" i="6"/>
  <c r="AN84" i="6"/>
  <c r="AM84" i="6"/>
  <c r="AJ84" i="6"/>
  <c r="AF84" i="6"/>
  <c r="Z84" i="6"/>
  <c r="Y84" i="6"/>
  <c r="V84" i="6"/>
  <c r="AB84" i="6" s="1"/>
  <c r="AS83" i="6"/>
  <c r="AR83" i="6"/>
  <c r="AN83" i="6"/>
  <c r="AM83" i="6"/>
  <c r="AK83" i="6"/>
  <c r="AF83" i="6"/>
  <c r="Z83" i="6"/>
  <c r="Y83" i="6"/>
  <c r="V83" i="6"/>
  <c r="AB83" i="6" s="1"/>
  <c r="AS82" i="6"/>
  <c r="AR82" i="6"/>
  <c r="AN82" i="6"/>
  <c r="AM82" i="6"/>
  <c r="AJ82" i="6"/>
  <c r="AF82" i="6"/>
  <c r="Z82" i="6"/>
  <c r="Y82" i="6"/>
  <c r="V82" i="6"/>
  <c r="AP82" i="6" s="1"/>
  <c r="AS81" i="6"/>
  <c r="AR81" i="6"/>
  <c r="AN81" i="6"/>
  <c r="AM81" i="6"/>
  <c r="AK81" i="6"/>
  <c r="Z81" i="6"/>
  <c r="Y81" i="6"/>
  <c r="V81" i="6"/>
  <c r="AQ81" i="6" s="1"/>
  <c r="AS80" i="6"/>
  <c r="AR80" i="6"/>
  <c r="AN80" i="6"/>
  <c r="AM80" i="6"/>
  <c r="AJ80" i="6"/>
  <c r="AF80" i="6"/>
  <c r="Z80" i="6"/>
  <c r="Y80" i="6"/>
  <c r="V80" i="6"/>
  <c r="AP80" i="6" s="1"/>
  <c r="AS79" i="6"/>
  <c r="AR79" i="6"/>
  <c r="AN79" i="6"/>
  <c r="AM79" i="6"/>
  <c r="AK79" i="6"/>
  <c r="AF79" i="6"/>
  <c r="Z79" i="6"/>
  <c r="Y79" i="6"/>
  <c r="V79" i="6"/>
  <c r="AB79" i="6" s="1"/>
  <c r="AS78" i="6"/>
  <c r="AR78" i="6"/>
  <c r="AN78" i="6"/>
  <c r="AM78" i="6"/>
  <c r="AJ78" i="6"/>
  <c r="AF78" i="6"/>
  <c r="Z78" i="6"/>
  <c r="Y78" i="6"/>
  <c r="V78" i="6"/>
  <c r="AP78" i="6" s="1"/>
  <c r="AS77" i="6"/>
  <c r="AR77" i="6"/>
  <c r="AN77" i="6"/>
  <c r="AM77" i="6"/>
  <c r="AK77" i="6"/>
  <c r="AF77" i="6"/>
  <c r="Z77" i="6"/>
  <c r="Y77" i="6"/>
  <c r="V77" i="6"/>
  <c r="AB77" i="6" s="1"/>
  <c r="AS76" i="6"/>
  <c r="AR76" i="6"/>
  <c r="AN76" i="6"/>
  <c r="AM76" i="6"/>
  <c r="AJ76" i="6"/>
  <c r="AF76" i="6"/>
  <c r="Z76" i="6"/>
  <c r="Y76" i="6"/>
  <c r="V76" i="6"/>
  <c r="AP76" i="6" s="1"/>
  <c r="AS75" i="6"/>
  <c r="AR75" i="6"/>
  <c r="AN75" i="6"/>
  <c r="AM75" i="6"/>
  <c r="AK75" i="6"/>
  <c r="AF75" i="6"/>
  <c r="Z75" i="6"/>
  <c r="Y75" i="6"/>
  <c r="V75" i="6"/>
  <c r="AB75" i="6" s="1"/>
  <c r="AS74" i="6"/>
  <c r="AR74" i="6"/>
  <c r="AN74" i="6"/>
  <c r="AM74" i="6"/>
  <c r="AJ74" i="6"/>
  <c r="AF74" i="6"/>
  <c r="Z74" i="6"/>
  <c r="Y74" i="6"/>
  <c r="V74" i="6"/>
  <c r="AS73" i="6"/>
  <c r="AR73" i="6"/>
  <c r="AN73" i="6"/>
  <c r="AM73" i="6"/>
  <c r="AK73" i="6"/>
  <c r="AF73" i="6"/>
  <c r="Z73" i="6"/>
  <c r="Y73" i="6"/>
  <c r="V73" i="6"/>
  <c r="AB73" i="6" s="1"/>
  <c r="AS72" i="6"/>
  <c r="AR72" i="6"/>
  <c r="AN72" i="6"/>
  <c r="AM72" i="6"/>
  <c r="AJ72" i="6"/>
  <c r="AF72" i="6"/>
  <c r="Z72" i="6"/>
  <c r="Y72" i="6"/>
  <c r="V72" i="6"/>
  <c r="AB72" i="6" s="1"/>
  <c r="AS71" i="6"/>
  <c r="AR71" i="6"/>
  <c r="AN71" i="6"/>
  <c r="AM71" i="6"/>
  <c r="AK71" i="6"/>
  <c r="AF71" i="6"/>
  <c r="Z71" i="6"/>
  <c r="Y71" i="6"/>
  <c r="V71" i="6"/>
  <c r="AQ71" i="6" s="1"/>
  <c r="AS70" i="6"/>
  <c r="AR70" i="6"/>
  <c r="AN70" i="6"/>
  <c r="AM70" i="6"/>
  <c r="AJ70" i="6"/>
  <c r="AF70" i="6"/>
  <c r="Z70" i="6"/>
  <c r="Y70" i="6"/>
  <c r="V70" i="6"/>
  <c r="AB70" i="6" s="1"/>
  <c r="AS69" i="6"/>
  <c r="AR69" i="6"/>
  <c r="AN69" i="6"/>
  <c r="AM69" i="6"/>
  <c r="AK69" i="6"/>
  <c r="AF69" i="6"/>
  <c r="Z69" i="6"/>
  <c r="Y69" i="6"/>
  <c r="V69" i="6"/>
  <c r="AP69" i="6" s="1"/>
  <c r="AS68" i="6"/>
  <c r="AR68" i="6"/>
  <c r="AN68" i="6"/>
  <c r="AM68" i="6"/>
  <c r="AJ68" i="6"/>
  <c r="AF68" i="6"/>
  <c r="Z68" i="6"/>
  <c r="Y68" i="6"/>
  <c r="V68" i="6"/>
  <c r="AB68" i="6" s="1"/>
  <c r="AS67" i="6"/>
  <c r="AR67" i="6"/>
  <c r="AN67" i="6"/>
  <c r="AM67" i="6"/>
  <c r="AK67" i="6"/>
  <c r="AF67" i="6"/>
  <c r="Z67" i="6"/>
  <c r="Y67" i="6"/>
  <c r="V67" i="6"/>
  <c r="AP67" i="6" s="1"/>
  <c r="AS66" i="6"/>
  <c r="AR66" i="6"/>
  <c r="AN66" i="6"/>
  <c r="AM66" i="6"/>
  <c r="AJ66" i="6"/>
  <c r="AF66" i="6"/>
  <c r="Z66" i="6"/>
  <c r="Y66" i="6"/>
  <c r="V66" i="6"/>
  <c r="AB66" i="6" s="1"/>
  <c r="AS65" i="6"/>
  <c r="AR65" i="6"/>
  <c r="AN65" i="6"/>
  <c r="AM65" i="6"/>
  <c r="AK65" i="6"/>
  <c r="AF65" i="6"/>
  <c r="Z65" i="6"/>
  <c r="Y65" i="6"/>
  <c r="V65" i="6"/>
  <c r="AP65" i="6" s="1"/>
  <c r="AS64" i="6"/>
  <c r="AR64" i="6"/>
  <c r="AN64" i="6"/>
  <c r="AM64" i="6"/>
  <c r="AJ64" i="6"/>
  <c r="AF64" i="6"/>
  <c r="Z64" i="6"/>
  <c r="Y64" i="6"/>
  <c r="V64" i="6"/>
  <c r="AB64" i="6" s="1"/>
  <c r="AS63" i="6"/>
  <c r="AR63" i="6"/>
  <c r="AN63" i="6"/>
  <c r="AM63" i="6"/>
  <c r="AK63" i="6"/>
  <c r="AF63" i="6"/>
  <c r="Z63" i="6"/>
  <c r="Y63" i="6"/>
  <c r="V63" i="6"/>
  <c r="AP63" i="6" s="1"/>
  <c r="AS62" i="6"/>
  <c r="AR62" i="6"/>
  <c r="AN62" i="6"/>
  <c r="AM62" i="6"/>
  <c r="AJ62" i="6"/>
  <c r="AF62" i="6"/>
  <c r="Z62" i="6"/>
  <c r="Y62" i="6"/>
  <c r="V62" i="6"/>
  <c r="AB62" i="6" s="1"/>
  <c r="AS61" i="6"/>
  <c r="AR61" i="6"/>
  <c r="AN61" i="6"/>
  <c r="AM61" i="6"/>
  <c r="AK61" i="6"/>
  <c r="AF61" i="6"/>
  <c r="Z61" i="6"/>
  <c r="Y61" i="6"/>
  <c r="V61" i="6"/>
  <c r="AP61" i="6" s="1"/>
  <c r="AS60" i="6"/>
  <c r="AR60" i="6"/>
  <c r="AN60" i="6"/>
  <c r="AM60" i="6"/>
  <c r="AJ60" i="6"/>
  <c r="AF60" i="6"/>
  <c r="Z60" i="6"/>
  <c r="Y60" i="6"/>
  <c r="V60" i="6"/>
  <c r="AB60" i="6" s="1"/>
  <c r="AS59" i="6"/>
  <c r="AR59" i="6"/>
  <c r="AN59" i="6"/>
  <c r="AM59" i="6"/>
  <c r="AK59" i="6"/>
  <c r="AF59" i="6"/>
  <c r="Z59" i="6"/>
  <c r="Y59" i="6"/>
  <c r="V59" i="6"/>
  <c r="AP59" i="6" s="1"/>
  <c r="AS58" i="6"/>
  <c r="AR58" i="6"/>
  <c r="AN58" i="6"/>
  <c r="AM58" i="6"/>
  <c r="AJ58" i="6"/>
  <c r="AF58" i="6"/>
  <c r="Z58" i="6"/>
  <c r="Y58" i="6"/>
  <c r="V58" i="6"/>
  <c r="AB58" i="6" s="1"/>
  <c r="AS57" i="6"/>
  <c r="AR57" i="6"/>
  <c r="AN57" i="6"/>
  <c r="AM57" i="6"/>
  <c r="AK57" i="6"/>
  <c r="AF57" i="6"/>
  <c r="Z57" i="6"/>
  <c r="Y57" i="6"/>
  <c r="V57" i="6"/>
  <c r="AP57" i="6" s="1"/>
  <c r="AS56" i="6"/>
  <c r="AR56" i="6"/>
  <c r="AP56" i="6"/>
  <c r="AN56" i="6"/>
  <c r="AM56" i="6"/>
  <c r="AJ56" i="6"/>
  <c r="AF56" i="6"/>
  <c r="Z56" i="6"/>
  <c r="Y56" i="6"/>
  <c r="V56" i="6"/>
  <c r="AB56" i="6" s="1"/>
  <c r="AS55" i="6"/>
  <c r="AR55" i="6"/>
  <c r="AN55" i="6"/>
  <c r="AM55" i="6"/>
  <c r="AK55" i="6"/>
  <c r="AF55" i="6"/>
  <c r="Z55" i="6"/>
  <c r="Y55" i="6"/>
  <c r="V55" i="6"/>
  <c r="AP55" i="6" s="1"/>
  <c r="AS54" i="6"/>
  <c r="AR54" i="6"/>
  <c r="AN54" i="6"/>
  <c r="AM54" i="6"/>
  <c r="AJ54" i="6"/>
  <c r="AF54" i="6"/>
  <c r="Z54" i="6"/>
  <c r="Y54" i="6"/>
  <c r="V54" i="6"/>
  <c r="AB54" i="6" s="1"/>
  <c r="AS53" i="6"/>
  <c r="AR53" i="6"/>
  <c r="AN53" i="6"/>
  <c r="AM53" i="6"/>
  <c r="AK53" i="6"/>
  <c r="AF53" i="6"/>
  <c r="Z53" i="6"/>
  <c r="Y53" i="6"/>
  <c r="V53" i="6"/>
  <c r="AP53" i="6" s="1"/>
  <c r="AS52" i="6"/>
  <c r="AR52" i="6"/>
  <c r="AN52" i="6"/>
  <c r="AM52" i="6"/>
  <c r="AJ52" i="6"/>
  <c r="AF52" i="6"/>
  <c r="Z52" i="6"/>
  <c r="Y52" i="6"/>
  <c r="V52" i="6"/>
  <c r="AB52" i="6" s="1"/>
  <c r="AS51" i="6"/>
  <c r="AR51" i="6"/>
  <c r="AN51" i="6"/>
  <c r="AM51" i="6"/>
  <c r="AK51" i="6"/>
  <c r="AF51" i="6"/>
  <c r="Z51" i="6"/>
  <c r="Y51" i="6"/>
  <c r="V51" i="6"/>
  <c r="AP51" i="6" s="1"/>
  <c r="AS50" i="6"/>
  <c r="AR50" i="6"/>
  <c r="AN50" i="6"/>
  <c r="AM50" i="6"/>
  <c r="AJ50" i="6"/>
  <c r="AF50" i="6"/>
  <c r="Z50" i="6"/>
  <c r="Y50" i="6"/>
  <c r="V50" i="6"/>
  <c r="AB50" i="6" s="1"/>
  <c r="AS49" i="6"/>
  <c r="AR49" i="6"/>
  <c r="AN49" i="6"/>
  <c r="AM49" i="6"/>
  <c r="AK49" i="6"/>
  <c r="AF49" i="6"/>
  <c r="Z49" i="6"/>
  <c r="Y49" i="6"/>
  <c r="V49" i="6"/>
  <c r="AP49" i="6" s="1"/>
  <c r="AS48" i="6"/>
  <c r="AR48" i="6"/>
  <c r="AN48" i="6"/>
  <c r="AM48" i="6"/>
  <c r="AJ48" i="6"/>
  <c r="AF48" i="6"/>
  <c r="Z48" i="6"/>
  <c r="Y48" i="6"/>
  <c r="V48" i="6"/>
  <c r="AB48" i="6" s="1"/>
  <c r="AS47" i="6"/>
  <c r="AR47" i="6"/>
  <c r="AN47" i="6"/>
  <c r="AM47" i="6"/>
  <c r="AK47" i="6"/>
  <c r="AF47" i="6"/>
  <c r="Z47" i="6"/>
  <c r="Y47" i="6"/>
  <c r="V47" i="6"/>
  <c r="AQ47" i="6" s="1"/>
  <c r="AS46" i="6"/>
  <c r="AR46" i="6"/>
  <c r="AN46" i="6"/>
  <c r="AM46" i="6"/>
  <c r="AJ46" i="6"/>
  <c r="AF46" i="6"/>
  <c r="Z46" i="6"/>
  <c r="Y46" i="6"/>
  <c r="V46" i="6"/>
  <c r="AP46" i="6" s="1"/>
  <c r="AS45" i="6"/>
  <c r="AR45" i="6"/>
  <c r="AN45" i="6"/>
  <c r="AM45" i="6"/>
  <c r="AK45" i="6"/>
  <c r="AF45" i="6"/>
  <c r="Z45" i="6"/>
  <c r="Y45" i="6"/>
  <c r="V45" i="6"/>
  <c r="AQ45" i="6" s="1"/>
  <c r="AS44" i="6"/>
  <c r="AR44" i="6"/>
  <c r="AN44" i="6"/>
  <c r="AM44" i="6"/>
  <c r="AJ44" i="6"/>
  <c r="AF44" i="6"/>
  <c r="Z44" i="6"/>
  <c r="Y44" i="6"/>
  <c r="V44" i="6"/>
  <c r="AS43" i="6"/>
  <c r="AR43" i="6"/>
  <c r="AN43" i="6"/>
  <c r="AM43" i="6"/>
  <c r="AK43" i="6"/>
  <c r="AF43" i="6"/>
  <c r="Z43" i="6"/>
  <c r="Y43" i="6"/>
  <c r="V43" i="6"/>
  <c r="AQ43" i="6" s="1"/>
  <c r="AS42" i="6"/>
  <c r="AR42" i="6"/>
  <c r="AN42" i="6"/>
  <c r="AM42" i="6"/>
  <c r="AJ42" i="6"/>
  <c r="AF42" i="6"/>
  <c r="Z42" i="6"/>
  <c r="Y42" i="6"/>
  <c r="V42" i="6"/>
  <c r="AB42" i="6" s="1"/>
  <c r="AS41" i="6"/>
  <c r="AR41" i="6"/>
  <c r="AN41" i="6"/>
  <c r="AM41" i="6"/>
  <c r="AK41" i="6"/>
  <c r="AF41" i="6"/>
  <c r="Z41" i="6"/>
  <c r="Y41" i="6"/>
  <c r="V41" i="6"/>
  <c r="AS40" i="6"/>
  <c r="AR40" i="6"/>
  <c r="AN40" i="6"/>
  <c r="AM40" i="6"/>
  <c r="AJ40" i="6"/>
  <c r="AF40" i="6"/>
  <c r="Z40" i="6"/>
  <c r="Y40" i="6"/>
  <c r="V40" i="6"/>
  <c r="AB40" i="6" s="1"/>
  <c r="AS39" i="6"/>
  <c r="AR39" i="6"/>
  <c r="AN39" i="6"/>
  <c r="AM39" i="6"/>
  <c r="AK39" i="6"/>
  <c r="AF39" i="6"/>
  <c r="Z39" i="6"/>
  <c r="Y39" i="6"/>
  <c r="V39" i="6"/>
  <c r="AQ39" i="6" s="1"/>
  <c r="AS38" i="6"/>
  <c r="AR38" i="6"/>
  <c r="AN38" i="6"/>
  <c r="AM38" i="6"/>
  <c r="AJ38" i="6"/>
  <c r="AF38" i="6"/>
  <c r="Z38" i="6"/>
  <c r="Y38" i="6"/>
  <c r="V38" i="6"/>
  <c r="AP38" i="6" s="1"/>
  <c r="AS37" i="6"/>
  <c r="AR37" i="6"/>
  <c r="AN37" i="6"/>
  <c r="AM37" i="6"/>
  <c r="AK37" i="6"/>
  <c r="AF37" i="6"/>
  <c r="Z37" i="6"/>
  <c r="Y37" i="6"/>
  <c r="V37" i="6"/>
  <c r="AQ37" i="6" s="1"/>
  <c r="AS36" i="6"/>
  <c r="AR36" i="6"/>
  <c r="AN36" i="6"/>
  <c r="AM36" i="6"/>
  <c r="AJ36" i="6"/>
  <c r="AF36" i="6"/>
  <c r="Z36" i="6"/>
  <c r="Y36" i="6"/>
  <c r="V36" i="6"/>
  <c r="AS35" i="6"/>
  <c r="AR35" i="6"/>
  <c r="AN35" i="6"/>
  <c r="AM35" i="6"/>
  <c r="AK35" i="6"/>
  <c r="AF35" i="6"/>
  <c r="Z35" i="6"/>
  <c r="Y35" i="6"/>
  <c r="V35" i="6"/>
  <c r="AQ35" i="6" s="1"/>
  <c r="AS34" i="6"/>
  <c r="AR34" i="6"/>
  <c r="AN34" i="6"/>
  <c r="AM34" i="6"/>
  <c r="AJ34" i="6"/>
  <c r="AF34" i="6"/>
  <c r="Z34" i="6"/>
  <c r="Y34" i="6"/>
  <c r="V34" i="6"/>
  <c r="AB34" i="6" s="1"/>
  <c r="AS33" i="6"/>
  <c r="AR33" i="6"/>
  <c r="AN33" i="6"/>
  <c r="AM33" i="6"/>
  <c r="AK33" i="6"/>
  <c r="AF33" i="6"/>
  <c r="AB33" i="6"/>
  <c r="Z33" i="6"/>
  <c r="Y33" i="6"/>
  <c r="V33" i="6"/>
  <c r="AQ33" i="6" s="1"/>
  <c r="AS32" i="6"/>
  <c r="AR32" i="6"/>
  <c r="AN32" i="6"/>
  <c r="AM32" i="6"/>
  <c r="AJ32" i="6"/>
  <c r="AF32" i="6"/>
  <c r="Z32" i="6"/>
  <c r="Y32" i="6"/>
  <c r="V32" i="6"/>
  <c r="AP32" i="6" s="1"/>
  <c r="AS31" i="6"/>
  <c r="AR31" i="6"/>
  <c r="AN31" i="6"/>
  <c r="AM31" i="6"/>
  <c r="AK31" i="6"/>
  <c r="AF31" i="6"/>
  <c r="Z31" i="6"/>
  <c r="Y31" i="6"/>
  <c r="V31" i="6"/>
  <c r="AQ31" i="6" s="1"/>
  <c r="AS30" i="6"/>
  <c r="AR30" i="6"/>
  <c r="AN30" i="6"/>
  <c r="AM30" i="6"/>
  <c r="AJ30" i="6"/>
  <c r="AF30" i="6"/>
  <c r="Z30" i="6"/>
  <c r="Y30" i="6"/>
  <c r="V30" i="6"/>
  <c r="AB30" i="6" s="1"/>
  <c r="AS29" i="6"/>
  <c r="AR29" i="6"/>
  <c r="AN29" i="6"/>
  <c r="AM29" i="6"/>
  <c r="AJ29" i="6"/>
  <c r="AF29" i="6"/>
  <c r="Z29" i="6"/>
  <c r="Y29" i="6"/>
  <c r="V29" i="6"/>
  <c r="AB29" i="6" s="1"/>
  <c r="AS28" i="6"/>
  <c r="AR28" i="6"/>
  <c r="AN28" i="6"/>
  <c r="AM28" i="6"/>
  <c r="AJ28" i="6"/>
  <c r="AF28" i="6"/>
  <c r="Z28" i="6"/>
  <c r="Y28" i="6"/>
  <c r="V28" i="6"/>
  <c r="AP28" i="6" s="1"/>
  <c r="AS27" i="6"/>
  <c r="AR27" i="6"/>
  <c r="AN27" i="6"/>
  <c r="AM27" i="6"/>
  <c r="AJ27" i="6"/>
  <c r="AF27" i="6"/>
  <c r="Z27" i="6"/>
  <c r="Y27" i="6"/>
  <c r="V27" i="6"/>
  <c r="AB27" i="6" s="1"/>
  <c r="AS26" i="6"/>
  <c r="AR26" i="6"/>
  <c r="AN26" i="6"/>
  <c r="AM26" i="6"/>
  <c r="AJ26" i="6"/>
  <c r="AF26" i="6"/>
  <c r="Z26" i="6"/>
  <c r="Y26" i="6"/>
  <c r="V26" i="6"/>
  <c r="AP26" i="6" s="1"/>
  <c r="AS25" i="6"/>
  <c r="AR25" i="6"/>
  <c r="AN25" i="6"/>
  <c r="AM25" i="6"/>
  <c r="AJ25" i="6"/>
  <c r="AF25" i="6"/>
  <c r="Z25" i="6"/>
  <c r="Y25" i="6"/>
  <c r="V25" i="6"/>
  <c r="AB25" i="6" s="1"/>
  <c r="AS24" i="6"/>
  <c r="AR24" i="6"/>
  <c r="AN24" i="6"/>
  <c r="AM24" i="6"/>
  <c r="AJ24" i="6"/>
  <c r="AF24" i="6"/>
  <c r="Z24" i="6"/>
  <c r="Y24" i="6"/>
  <c r="V24" i="6"/>
  <c r="AP24" i="6" s="1"/>
  <c r="AS23" i="6"/>
  <c r="AR23" i="6"/>
  <c r="AN23" i="6"/>
  <c r="AM23" i="6"/>
  <c r="AJ23" i="6"/>
  <c r="AF23" i="6"/>
  <c r="Z23" i="6"/>
  <c r="Y23" i="6"/>
  <c r="V23" i="6"/>
  <c r="AB23" i="6" s="1"/>
  <c r="AS22" i="6"/>
  <c r="AR22" i="6"/>
  <c r="AN22" i="6"/>
  <c r="AM22" i="6"/>
  <c r="AJ22" i="6"/>
  <c r="AF22" i="6"/>
  <c r="Z22" i="6"/>
  <c r="Y22" i="6"/>
  <c r="V22" i="6"/>
  <c r="AP22" i="6" s="1"/>
  <c r="AS21" i="6"/>
  <c r="AR21" i="6"/>
  <c r="AN21" i="6"/>
  <c r="AM21" i="6"/>
  <c r="AJ21" i="6"/>
  <c r="AF21" i="6"/>
  <c r="Z21" i="6"/>
  <c r="Y21" i="6"/>
  <c r="V21" i="6"/>
  <c r="AB21" i="6" s="1"/>
  <c r="AS20" i="6"/>
  <c r="AR20" i="6"/>
  <c r="AN20" i="6"/>
  <c r="AM20" i="6"/>
  <c r="AJ20" i="6"/>
  <c r="AF20" i="6"/>
  <c r="Z20" i="6"/>
  <c r="Y20" i="6"/>
  <c r="V20" i="6"/>
  <c r="AP20" i="6" s="1"/>
  <c r="AS19" i="6"/>
  <c r="AR19" i="6"/>
  <c r="AN19" i="6"/>
  <c r="AM19" i="6"/>
  <c r="AJ19" i="6"/>
  <c r="AF19" i="6"/>
  <c r="Z19" i="6"/>
  <c r="Y19" i="6"/>
  <c r="V19" i="6"/>
  <c r="AB19" i="6" s="1"/>
  <c r="AS18" i="6"/>
  <c r="AR18" i="6"/>
  <c r="AN18" i="6"/>
  <c r="AM18" i="6"/>
  <c r="AJ18" i="6"/>
  <c r="AF18" i="6"/>
  <c r="AA18" i="6"/>
  <c r="Z18" i="6"/>
  <c r="Y18" i="6"/>
  <c r="V18" i="6"/>
  <c r="AP18" i="6" s="1"/>
  <c r="AS17" i="6"/>
  <c r="AR17" i="6"/>
  <c r="AN17" i="6"/>
  <c r="AM17" i="6"/>
  <c r="AJ17" i="6"/>
  <c r="AF17" i="6"/>
  <c r="Z17" i="6"/>
  <c r="Y17" i="6"/>
  <c r="V17" i="6"/>
  <c r="AB17" i="6" s="1"/>
  <c r="AS16" i="6"/>
  <c r="AR16" i="6"/>
  <c r="AN16" i="6"/>
  <c r="AM16" i="6"/>
  <c r="AJ16" i="6"/>
  <c r="AF16" i="6"/>
  <c r="Z16" i="6"/>
  <c r="Y16" i="6"/>
  <c r="V16" i="6"/>
  <c r="AP16" i="6" s="1"/>
  <c r="AS15" i="6"/>
  <c r="AR15" i="6"/>
  <c r="AN15" i="6"/>
  <c r="AM15" i="6"/>
  <c r="AJ15" i="6"/>
  <c r="AF15" i="6"/>
  <c r="Z15" i="6"/>
  <c r="Y15" i="6"/>
  <c r="V15" i="6"/>
  <c r="AB15" i="6" s="1"/>
  <c r="AS14" i="6"/>
  <c r="AR14" i="6"/>
  <c r="AN14" i="6"/>
  <c r="AM14" i="6"/>
  <c r="AJ14" i="6"/>
  <c r="AF14" i="6"/>
  <c r="Z14" i="6"/>
  <c r="Y14" i="6"/>
  <c r="V14" i="6"/>
  <c r="AP14" i="6" s="1"/>
  <c r="AS13" i="6"/>
  <c r="AR13" i="6"/>
  <c r="AN13" i="6"/>
  <c r="AM13" i="6"/>
  <c r="AJ13" i="6"/>
  <c r="AF13" i="6"/>
  <c r="Z13" i="6"/>
  <c r="Y13" i="6"/>
  <c r="V13" i="6"/>
  <c r="AB13" i="6" s="1"/>
  <c r="AS12" i="6"/>
  <c r="AR12" i="6"/>
  <c r="AN12" i="6"/>
  <c r="AM12" i="6"/>
  <c r="AJ12" i="6"/>
  <c r="AF12" i="6"/>
  <c r="Z12" i="6"/>
  <c r="Y12" i="6"/>
  <c r="V12" i="6"/>
  <c r="AP12" i="6" s="1"/>
  <c r="AS11" i="6"/>
  <c r="AR11" i="6"/>
  <c r="AN11" i="6"/>
  <c r="AM11" i="6"/>
  <c r="AJ11" i="6"/>
  <c r="AF11" i="6"/>
  <c r="Z11" i="6"/>
  <c r="Y11" i="6"/>
  <c r="V11" i="6"/>
  <c r="AB11" i="6" s="1"/>
  <c r="AS10" i="6"/>
  <c r="AR10" i="6"/>
  <c r="AN10" i="6"/>
  <c r="AM10" i="6"/>
  <c r="AJ10" i="6"/>
  <c r="AF10" i="6"/>
  <c r="Z10" i="6"/>
  <c r="Y10" i="6"/>
  <c r="V10" i="6"/>
  <c r="AP10" i="6" s="1"/>
  <c r="AS9" i="6"/>
  <c r="AR9" i="6"/>
  <c r="AN9" i="6"/>
  <c r="AM9" i="6"/>
  <c r="AJ9" i="6"/>
  <c r="AF9" i="6"/>
  <c r="Z9" i="6"/>
  <c r="Y9" i="6"/>
  <c r="V9" i="6"/>
  <c r="AB9" i="6" s="1"/>
  <c r="AS8" i="6"/>
  <c r="AR8" i="6"/>
  <c r="AN8" i="6"/>
  <c r="AM8" i="6"/>
  <c r="AJ8" i="6"/>
  <c r="AF8" i="6"/>
  <c r="Z8" i="6"/>
  <c r="Y8" i="6"/>
  <c r="V8" i="6"/>
  <c r="AP8" i="6" s="1"/>
  <c r="AS7" i="6"/>
  <c r="AR7" i="6"/>
  <c r="AN7" i="6"/>
  <c r="AM7" i="6"/>
  <c r="AJ7" i="6"/>
  <c r="AF7" i="6"/>
  <c r="Z7" i="6"/>
  <c r="Y7" i="6"/>
  <c r="V7" i="6"/>
  <c r="AB7" i="6" s="1"/>
  <c r="AS6" i="6"/>
  <c r="AR6" i="6"/>
  <c r="AN6" i="6"/>
  <c r="AM6" i="6"/>
  <c r="AJ6" i="6"/>
  <c r="AF6" i="6"/>
  <c r="Z6" i="6"/>
  <c r="Y6" i="6"/>
  <c r="V6" i="6"/>
  <c r="AP6" i="6" s="1"/>
  <c r="AS5" i="6"/>
  <c r="AR5" i="6"/>
  <c r="AN5" i="6"/>
  <c r="AM5" i="6"/>
  <c r="AJ5" i="6"/>
  <c r="AF5" i="6"/>
  <c r="Z5" i="6"/>
  <c r="Y5" i="6"/>
  <c r="V5" i="6"/>
  <c r="AB5" i="6" s="1"/>
  <c r="AS4" i="6"/>
  <c r="AR4" i="6"/>
  <c r="AN4" i="6"/>
  <c r="AM4" i="6"/>
  <c r="AJ4" i="6"/>
  <c r="AF4" i="6"/>
  <c r="Z4" i="6"/>
  <c r="Y4" i="6"/>
  <c r="V4" i="6"/>
  <c r="AP4" i="6" s="1"/>
  <c r="AS3" i="6"/>
  <c r="AR3" i="6"/>
  <c r="AN3" i="6"/>
  <c r="AM3" i="6"/>
  <c r="AJ3" i="6"/>
  <c r="AF3" i="6"/>
  <c r="Z3" i="6"/>
  <c r="Y3" i="6"/>
  <c r="V3" i="6"/>
  <c r="AB3" i="6" s="1"/>
  <c r="AS2" i="6"/>
  <c r="AR2" i="6"/>
  <c r="AN2" i="6"/>
  <c r="AM2" i="6"/>
  <c r="AJ2" i="6"/>
  <c r="AF2" i="6"/>
  <c r="Z2" i="6"/>
  <c r="Y2" i="6"/>
  <c r="V2" i="6"/>
  <c r="AP2" i="6" s="1"/>
  <c r="AM3" i="5"/>
  <c r="AN3" i="5"/>
  <c r="AM4" i="5"/>
  <c r="AN4" i="5"/>
  <c r="AM5" i="5"/>
  <c r="AN5" i="5"/>
  <c r="AM6" i="5"/>
  <c r="AN6" i="5"/>
  <c r="AM7" i="5"/>
  <c r="AN7" i="5"/>
  <c r="AM8" i="5"/>
  <c r="AN8" i="5"/>
  <c r="AM9" i="5"/>
  <c r="AN9" i="5"/>
  <c r="AM10" i="5"/>
  <c r="AN10" i="5"/>
  <c r="AM11" i="5"/>
  <c r="AN11" i="5"/>
  <c r="AM12" i="5"/>
  <c r="AN12" i="5"/>
  <c r="AM13" i="5"/>
  <c r="AN13" i="5"/>
  <c r="AM14" i="5"/>
  <c r="AN14" i="5"/>
  <c r="AM15" i="5"/>
  <c r="AN15" i="5"/>
  <c r="AM16" i="5"/>
  <c r="AN16" i="5"/>
  <c r="AM17" i="5"/>
  <c r="AN17" i="5"/>
  <c r="AM18" i="5"/>
  <c r="AN18" i="5"/>
  <c r="AM19" i="5"/>
  <c r="AN19" i="5"/>
  <c r="AM20" i="5"/>
  <c r="AN20" i="5"/>
  <c r="AM21" i="5"/>
  <c r="AN21" i="5"/>
  <c r="AM22" i="5"/>
  <c r="AN22" i="5"/>
  <c r="AM23" i="5"/>
  <c r="AN23" i="5"/>
  <c r="AM24" i="5"/>
  <c r="AN24" i="5"/>
  <c r="AM25" i="5"/>
  <c r="AN25" i="5"/>
  <c r="AM26" i="5"/>
  <c r="AN26" i="5"/>
  <c r="AM27" i="5"/>
  <c r="AN27" i="5"/>
  <c r="AM28" i="5"/>
  <c r="AN28" i="5"/>
  <c r="AM29" i="5"/>
  <c r="AN29" i="5"/>
  <c r="AM30" i="5"/>
  <c r="AN30" i="5"/>
  <c r="AM31" i="5"/>
  <c r="AN31" i="5"/>
  <c r="AM32" i="5"/>
  <c r="AN32" i="5"/>
  <c r="AM33" i="5"/>
  <c r="AN33" i="5"/>
  <c r="AM34" i="5"/>
  <c r="AN34" i="5"/>
  <c r="AM35" i="5"/>
  <c r="AN35" i="5"/>
  <c r="AM36" i="5"/>
  <c r="AN36" i="5"/>
  <c r="AM37" i="5"/>
  <c r="AN37" i="5"/>
  <c r="AM38" i="5"/>
  <c r="AN38" i="5"/>
  <c r="AM39" i="5"/>
  <c r="AN39" i="5"/>
  <c r="AM40" i="5"/>
  <c r="AN40" i="5"/>
  <c r="AM41" i="5"/>
  <c r="AN41" i="5"/>
  <c r="AM42" i="5"/>
  <c r="AN42" i="5"/>
  <c r="AM43" i="5"/>
  <c r="AN43" i="5"/>
  <c r="AM44" i="5"/>
  <c r="AN44" i="5"/>
  <c r="AM45" i="5"/>
  <c r="AN45" i="5"/>
  <c r="AM46" i="5"/>
  <c r="AN46" i="5"/>
  <c r="AM47" i="5"/>
  <c r="AN47" i="5"/>
  <c r="AM48" i="5"/>
  <c r="AN48" i="5"/>
  <c r="AM49" i="5"/>
  <c r="AN49" i="5"/>
  <c r="AM50" i="5"/>
  <c r="AN50" i="5"/>
  <c r="AM51" i="5"/>
  <c r="AN51" i="5"/>
  <c r="AM52" i="5"/>
  <c r="AN52" i="5"/>
  <c r="AM53" i="5"/>
  <c r="AN53" i="5"/>
  <c r="AM54" i="5"/>
  <c r="AN54" i="5"/>
  <c r="AM55" i="5"/>
  <c r="AN55" i="5"/>
  <c r="AM56" i="5"/>
  <c r="AN56" i="5"/>
  <c r="AM57" i="5"/>
  <c r="AN57" i="5"/>
  <c r="AM58" i="5"/>
  <c r="AN58" i="5"/>
  <c r="AM59" i="5"/>
  <c r="AN59" i="5"/>
  <c r="AM60" i="5"/>
  <c r="AN60" i="5"/>
  <c r="AM61" i="5"/>
  <c r="AN61" i="5"/>
  <c r="AM62" i="5"/>
  <c r="AN62" i="5"/>
  <c r="AM63" i="5"/>
  <c r="AN63" i="5"/>
  <c r="AM64" i="5"/>
  <c r="AN64" i="5"/>
  <c r="AM65" i="5"/>
  <c r="AN65" i="5"/>
  <c r="AM66" i="5"/>
  <c r="AN66" i="5"/>
  <c r="AM67" i="5"/>
  <c r="AN67" i="5"/>
  <c r="AM68" i="5"/>
  <c r="AN68" i="5"/>
  <c r="AM69" i="5"/>
  <c r="AN69" i="5"/>
  <c r="AM70" i="5"/>
  <c r="AN70" i="5"/>
  <c r="AM71" i="5"/>
  <c r="AN71" i="5"/>
  <c r="AM72" i="5"/>
  <c r="AN72" i="5"/>
  <c r="AM73" i="5"/>
  <c r="AN73" i="5"/>
  <c r="AM74" i="5"/>
  <c r="AN74" i="5"/>
  <c r="AM75" i="5"/>
  <c r="AN75" i="5"/>
  <c r="AM76" i="5"/>
  <c r="AN76" i="5"/>
  <c r="AM77" i="5"/>
  <c r="AN77" i="5"/>
  <c r="AM78" i="5"/>
  <c r="AN78" i="5"/>
  <c r="AM79" i="5"/>
  <c r="AN79" i="5"/>
  <c r="AM80" i="5"/>
  <c r="AN80" i="5"/>
  <c r="AM81" i="5"/>
  <c r="AN81" i="5"/>
  <c r="AM82" i="5"/>
  <c r="AN82" i="5"/>
  <c r="AM83" i="5"/>
  <c r="AN83" i="5"/>
  <c r="AM84" i="5"/>
  <c r="AN84" i="5"/>
  <c r="AM85" i="5"/>
  <c r="AN85" i="5"/>
  <c r="AM86" i="5"/>
  <c r="AN86" i="5"/>
  <c r="AM87" i="5"/>
  <c r="AN87" i="5"/>
  <c r="AM88" i="5"/>
  <c r="AN88" i="5"/>
  <c r="AM89" i="5"/>
  <c r="AN89" i="5"/>
  <c r="AM90" i="5"/>
  <c r="AN90" i="5"/>
  <c r="AM91" i="5"/>
  <c r="AN91" i="5"/>
  <c r="AM92" i="5"/>
  <c r="AN92" i="5"/>
  <c r="AM93" i="5"/>
  <c r="AN93" i="5"/>
  <c r="AM94" i="5"/>
  <c r="AN94" i="5"/>
  <c r="AM95" i="5"/>
  <c r="AN95" i="5"/>
  <c r="AM96" i="5"/>
  <c r="AN96" i="5"/>
  <c r="AM97" i="5"/>
  <c r="AN97" i="5"/>
  <c r="AM98" i="5"/>
  <c r="AN98" i="5"/>
  <c r="AM99" i="5"/>
  <c r="AN99" i="5"/>
  <c r="AM100" i="5"/>
  <c r="AN100" i="5"/>
  <c r="AM101" i="5"/>
  <c r="AN101" i="5"/>
  <c r="AM102" i="5"/>
  <c r="AN102" i="5"/>
  <c r="AM103" i="5"/>
  <c r="AN103" i="5"/>
  <c r="AM104" i="5"/>
  <c r="AN104" i="5"/>
  <c r="AM105" i="5"/>
  <c r="AN105" i="5"/>
  <c r="AM106" i="5"/>
  <c r="AN106" i="5"/>
  <c r="AN2" i="5"/>
  <c r="AM2" i="5"/>
  <c r="AR3" i="5"/>
  <c r="AS3" i="5"/>
  <c r="AR4" i="5"/>
  <c r="AS4" i="5"/>
  <c r="AR5" i="5"/>
  <c r="AS5" i="5"/>
  <c r="AR6" i="5"/>
  <c r="AS6" i="5"/>
  <c r="AR7" i="5"/>
  <c r="AS7" i="5"/>
  <c r="AR8" i="5"/>
  <c r="AS8" i="5"/>
  <c r="AR9" i="5"/>
  <c r="AS9" i="5"/>
  <c r="AR10" i="5"/>
  <c r="AS10" i="5"/>
  <c r="AR11" i="5"/>
  <c r="AS11" i="5"/>
  <c r="AR12" i="5"/>
  <c r="AS12" i="5"/>
  <c r="AR13" i="5"/>
  <c r="AS13" i="5"/>
  <c r="AR14" i="5"/>
  <c r="AS14" i="5"/>
  <c r="AR15" i="5"/>
  <c r="AS15" i="5"/>
  <c r="AR16" i="5"/>
  <c r="AS16" i="5"/>
  <c r="AR17" i="5"/>
  <c r="AS17" i="5"/>
  <c r="AR18" i="5"/>
  <c r="AS18" i="5"/>
  <c r="AR19" i="5"/>
  <c r="AS19" i="5"/>
  <c r="AR20" i="5"/>
  <c r="AS20" i="5"/>
  <c r="AR21" i="5"/>
  <c r="AS21" i="5"/>
  <c r="AR22" i="5"/>
  <c r="AS22" i="5"/>
  <c r="AR23" i="5"/>
  <c r="AS23" i="5"/>
  <c r="AR24" i="5"/>
  <c r="AS24" i="5"/>
  <c r="AR25" i="5"/>
  <c r="AS25" i="5"/>
  <c r="AR26" i="5"/>
  <c r="AS26" i="5"/>
  <c r="AR27" i="5"/>
  <c r="AS27" i="5"/>
  <c r="AR28" i="5"/>
  <c r="AS28" i="5"/>
  <c r="AR29" i="5"/>
  <c r="AS29" i="5"/>
  <c r="AR30" i="5"/>
  <c r="AS30" i="5"/>
  <c r="AR31" i="5"/>
  <c r="AS31" i="5"/>
  <c r="AR32" i="5"/>
  <c r="AS32" i="5"/>
  <c r="AR33" i="5"/>
  <c r="AS33" i="5"/>
  <c r="AR34" i="5"/>
  <c r="AS34" i="5"/>
  <c r="AR35" i="5"/>
  <c r="AS35" i="5"/>
  <c r="AR36" i="5"/>
  <c r="AS36" i="5"/>
  <c r="AR37" i="5"/>
  <c r="AS37" i="5"/>
  <c r="AR38" i="5"/>
  <c r="AS38" i="5"/>
  <c r="AR39" i="5"/>
  <c r="AS39" i="5"/>
  <c r="AR40" i="5"/>
  <c r="AS40" i="5"/>
  <c r="AR41" i="5"/>
  <c r="AS41" i="5"/>
  <c r="AR42" i="5"/>
  <c r="AS42" i="5"/>
  <c r="AR43" i="5"/>
  <c r="AS43" i="5"/>
  <c r="AR44" i="5"/>
  <c r="AS44" i="5"/>
  <c r="AR45" i="5"/>
  <c r="AS45" i="5"/>
  <c r="AR46" i="5"/>
  <c r="AS46" i="5"/>
  <c r="AR47" i="5"/>
  <c r="AS47" i="5"/>
  <c r="AR48" i="5"/>
  <c r="AS48" i="5"/>
  <c r="AR49" i="5"/>
  <c r="AS49" i="5"/>
  <c r="AR50" i="5"/>
  <c r="AS50" i="5"/>
  <c r="AR51" i="5"/>
  <c r="AS51" i="5"/>
  <c r="AR52" i="5"/>
  <c r="AS52" i="5"/>
  <c r="AR53" i="5"/>
  <c r="AS53" i="5"/>
  <c r="AR54" i="5"/>
  <c r="AS54" i="5"/>
  <c r="AR55" i="5"/>
  <c r="AS55" i="5"/>
  <c r="AR56" i="5"/>
  <c r="AS56" i="5"/>
  <c r="AR57" i="5"/>
  <c r="AS57" i="5"/>
  <c r="AR58" i="5"/>
  <c r="AS58" i="5"/>
  <c r="AR59" i="5"/>
  <c r="AS59" i="5"/>
  <c r="AR60" i="5"/>
  <c r="AS60" i="5"/>
  <c r="AR61" i="5"/>
  <c r="AS61" i="5"/>
  <c r="AR62" i="5"/>
  <c r="AS62" i="5"/>
  <c r="AR63" i="5"/>
  <c r="AS63" i="5"/>
  <c r="AR64" i="5"/>
  <c r="AS64" i="5"/>
  <c r="AR65" i="5"/>
  <c r="AS65" i="5"/>
  <c r="AR66" i="5"/>
  <c r="AS66" i="5"/>
  <c r="AR67" i="5"/>
  <c r="AS67" i="5"/>
  <c r="AR68" i="5"/>
  <c r="AS68" i="5"/>
  <c r="AR69" i="5"/>
  <c r="AS69" i="5"/>
  <c r="AR70" i="5"/>
  <c r="AS70" i="5"/>
  <c r="AR71" i="5"/>
  <c r="AS71" i="5"/>
  <c r="AR72" i="5"/>
  <c r="AS72" i="5"/>
  <c r="AR73" i="5"/>
  <c r="AS73" i="5"/>
  <c r="AR74" i="5"/>
  <c r="AS74" i="5"/>
  <c r="AR75" i="5"/>
  <c r="AS75" i="5"/>
  <c r="AR76" i="5"/>
  <c r="AS76" i="5"/>
  <c r="AR77" i="5"/>
  <c r="AS77" i="5"/>
  <c r="AR78" i="5"/>
  <c r="AS78" i="5"/>
  <c r="AR79" i="5"/>
  <c r="AS79" i="5"/>
  <c r="AR80" i="5"/>
  <c r="AS80" i="5"/>
  <c r="AR81" i="5"/>
  <c r="AS81" i="5"/>
  <c r="AR82" i="5"/>
  <c r="AS82" i="5"/>
  <c r="AR83" i="5"/>
  <c r="AS83" i="5"/>
  <c r="AR84" i="5"/>
  <c r="AS84" i="5"/>
  <c r="AR85" i="5"/>
  <c r="AS85" i="5"/>
  <c r="AR86" i="5"/>
  <c r="AS86" i="5"/>
  <c r="AR87" i="5"/>
  <c r="AS87" i="5"/>
  <c r="AR88" i="5"/>
  <c r="AS88" i="5"/>
  <c r="AR89" i="5"/>
  <c r="AS89" i="5"/>
  <c r="AR90" i="5"/>
  <c r="AS90" i="5"/>
  <c r="AR91" i="5"/>
  <c r="AS91" i="5"/>
  <c r="AR92" i="5"/>
  <c r="AS92" i="5"/>
  <c r="AR93" i="5"/>
  <c r="AS93" i="5"/>
  <c r="AR94" i="5"/>
  <c r="AS94" i="5"/>
  <c r="AR95" i="5"/>
  <c r="AS95" i="5"/>
  <c r="AR96" i="5"/>
  <c r="AS96" i="5"/>
  <c r="AR97" i="5"/>
  <c r="AS97" i="5"/>
  <c r="AR98" i="5"/>
  <c r="AS98" i="5"/>
  <c r="AR99" i="5"/>
  <c r="AS99" i="5"/>
  <c r="AR100" i="5"/>
  <c r="AS100" i="5"/>
  <c r="AR101" i="5"/>
  <c r="AS101" i="5"/>
  <c r="AR102" i="5"/>
  <c r="AS102" i="5"/>
  <c r="AR103" i="5"/>
  <c r="AS103" i="5"/>
  <c r="AR104" i="5"/>
  <c r="AS104" i="5"/>
  <c r="AR105" i="5"/>
  <c r="AS105" i="5"/>
  <c r="AR106" i="5"/>
  <c r="AS106" i="5"/>
  <c r="AS2" i="5"/>
  <c r="AR2" i="5"/>
  <c r="AP106" i="5"/>
  <c r="AJ106" i="5"/>
  <c r="AF106" i="5"/>
  <c r="Z106" i="5"/>
  <c r="Y106" i="5"/>
  <c r="V106" i="5"/>
  <c r="AQ106" i="5" s="1"/>
  <c r="AK105" i="5"/>
  <c r="AF105" i="5"/>
  <c r="Z105" i="5"/>
  <c r="Y105" i="5"/>
  <c r="V105" i="5"/>
  <c r="AQ105" i="5" s="1"/>
  <c r="AJ104" i="5"/>
  <c r="AF104" i="5"/>
  <c r="Z104" i="5"/>
  <c r="Y104" i="5"/>
  <c r="V104" i="5"/>
  <c r="AQ104" i="5" s="1"/>
  <c r="AK103" i="5"/>
  <c r="AF103" i="5"/>
  <c r="Z103" i="5"/>
  <c r="Y103" i="5"/>
  <c r="V103" i="5"/>
  <c r="AJ102" i="5"/>
  <c r="AF102" i="5"/>
  <c r="Z102" i="5"/>
  <c r="Y102" i="5"/>
  <c r="V102" i="5"/>
  <c r="AQ102" i="5" s="1"/>
  <c r="AK101" i="5"/>
  <c r="AF101" i="5"/>
  <c r="Z101" i="5"/>
  <c r="Y101" i="5"/>
  <c r="V101" i="5"/>
  <c r="AB101" i="5" s="1"/>
  <c r="AJ100" i="5"/>
  <c r="AF100" i="5"/>
  <c r="Z100" i="5"/>
  <c r="Y100" i="5"/>
  <c r="V100" i="5"/>
  <c r="AQ100" i="5" s="1"/>
  <c r="AK99" i="5"/>
  <c r="AF99" i="5"/>
  <c r="Z99" i="5"/>
  <c r="Y99" i="5"/>
  <c r="V99" i="5"/>
  <c r="AB99" i="5" s="1"/>
  <c r="AJ98" i="5"/>
  <c r="AF98" i="5"/>
  <c r="Z98" i="5"/>
  <c r="Y98" i="5"/>
  <c r="V98" i="5"/>
  <c r="AQ98" i="5" s="1"/>
  <c r="AK97" i="5"/>
  <c r="AF97" i="5"/>
  <c r="Z97" i="5"/>
  <c r="Y97" i="5"/>
  <c r="V97" i="5"/>
  <c r="AJ96" i="5"/>
  <c r="AF96" i="5"/>
  <c r="Z96" i="5"/>
  <c r="Y96" i="5"/>
  <c r="V96" i="5"/>
  <c r="AQ96" i="5" s="1"/>
  <c r="AK95" i="5"/>
  <c r="AF95" i="5"/>
  <c r="Z95" i="5"/>
  <c r="Y95" i="5"/>
  <c r="V95" i="5"/>
  <c r="AB95" i="5" s="1"/>
  <c r="AJ94" i="5"/>
  <c r="AF94" i="5"/>
  <c r="Z94" i="5"/>
  <c r="Y94" i="5"/>
  <c r="V94" i="5"/>
  <c r="AQ94" i="5" s="1"/>
  <c r="AK93" i="5"/>
  <c r="AF93" i="5"/>
  <c r="Z93" i="5"/>
  <c r="Y93" i="5"/>
  <c r="V93" i="5"/>
  <c r="AB93" i="5" s="1"/>
  <c r="AP92" i="5"/>
  <c r="AJ92" i="5"/>
  <c r="AF92" i="5"/>
  <c r="Z92" i="5"/>
  <c r="Y92" i="5"/>
  <c r="V92" i="5"/>
  <c r="AQ92" i="5" s="1"/>
  <c r="AK91" i="5"/>
  <c r="AF91" i="5"/>
  <c r="Z91" i="5"/>
  <c r="Y91" i="5"/>
  <c r="V91" i="5"/>
  <c r="AB91" i="5" s="1"/>
  <c r="AJ90" i="5"/>
  <c r="AF90" i="5"/>
  <c r="Z90" i="5"/>
  <c r="Y90" i="5"/>
  <c r="V90" i="5"/>
  <c r="AQ90" i="5" s="1"/>
  <c r="AK89" i="5"/>
  <c r="AF89" i="5"/>
  <c r="Z89" i="5"/>
  <c r="Y89" i="5"/>
  <c r="V89" i="5"/>
  <c r="AJ88" i="5"/>
  <c r="AF88" i="5"/>
  <c r="Z88" i="5"/>
  <c r="Y88" i="5"/>
  <c r="V88" i="5"/>
  <c r="AQ88" i="5" s="1"/>
  <c r="AK87" i="5"/>
  <c r="AF87" i="5"/>
  <c r="Z87" i="5"/>
  <c r="Y87" i="5"/>
  <c r="V87" i="5"/>
  <c r="AB87" i="5" s="1"/>
  <c r="AJ86" i="5"/>
  <c r="AF86" i="5"/>
  <c r="Z86" i="5"/>
  <c r="Y86" i="5"/>
  <c r="V86" i="5"/>
  <c r="AQ86" i="5" s="1"/>
  <c r="AK85" i="5"/>
  <c r="AF85" i="5"/>
  <c r="Z85" i="5"/>
  <c r="Y85" i="5"/>
  <c r="V85" i="5"/>
  <c r="AB85" i="5" s="1"/>
  <c r="AJ84" i="5"/>
  <c r="AF84" i="5"/>
  <c r="Z84" i="5"/>
  <c r="Y84" i="5"/>
  <c r="V84" i="5"/>
  <c r="AQ84" i="5" s="1"/>
  <c r="AK83" i="5"/>
  <c r="AF83" i="5"/>
  <c r="Z83" i="5"/>
  <c r="Y83" i="5"/>
  <c r="V83" i="5"/>
  <c r="AB83" i="5" s="1"/>
  <c r="AJ82" i="5"/>
  <c r="AF82" i="5"/>
  <c r="Z82" i="5"/>
  <c r="Y82" i="5"/>
  <c r="V82" i="5"/>
  <c r="AQ82" i="5" s="1"/>
  <c r="AK81" i="5"/>
  <c r="AF81" i="5"/>
  <c r="Z81" i="5"/>
  <c r="Y81" i="5"/>
  <c r="V81" i="5"/>
  <c r="AB81" i="5" s="1"/>
  <c r="AJ80" i="5"/>
  <c r="AF80" i="5"/>
  <c r="Z80" i="5"/>
  <c r="Y80" i="5"/>
  <c r="V80" i="5"/>
  <c r="AQ80" i="5" s="1"/>
  <c r="AK79" i="5"/>
  <c r="AF79" i="5"/>
  <c r="Z79" i="5"/>
  <c r="Y79" i="5"/>
  <c r="V79" i="5"/>
  <c r="AB79" i="5" s="1"/>
  <c r="AJ78" i="5"/>
  <c r="AF78" i="5"/>
  <c r="Z78" i="5"/>
  <c r="Y78" i="5"/>
  <c r="V78" i="5"/>
  <c r="AP78" i="5" s="1"/>
  <c r="AK77" i="5"/>
  <c r="AF77" i="5"/>
  <c r="Z77" i="5"/>
  <c r="Y77" i="5"/>
  <c r="V77" i="5"/>
  <c r="AQ77" i="5" s="1"/>
  <c r="AJ76" i="5"/>
  <c r="AF76" i="5"/>
  <c r="Z76" i="5"/>
  <c r="Y76" i="5"/>
  <c r="V76" i="5"/>
  <c r="AK75" i="5"/>
  <c r="AF75" i="5"/>
  <c r="Z75" i="5"/>
  <c r="Y75" i="5"/>
  <c r="V75" i="5"/>
  <c r="AQ75" i="5" s="1"/>
  <c r="AJ74" i="5"/>
  <c r="AF74" i="5"/>
  <c r="Z74" i="5"/>
  <c r="Y74" i="5"/>
  <c r="V74" i="5"/>
  <c r="AQ74" i="5" s="1"/>
  <c r="AK73" i="5"/>
  <c r="AF73" i="5"/>
  <c r="AA73" i="5"/>
  <c r="Z73" i="5"/>
  <c r="Y73" i="5"/>
  <c r="V73" i="5"/>
  <c r="AQ73" i="5" s="1"/>
  <c r="AJ72" i="5"/>
  <c r="AF72" i="5"/>
  <c r="AB72" i="5"/>
  <c r="Z72" i="5"/>
  <c r="Y72" i="5"/>
  <c r="V72" i="5"/>
  <c r="AQ72" i="5" s="1"/>
  <c r="AK71" i="5"/>
  <c r="AF71" i="5"/>
  <c r="Z71" i="5"/>
  <c r="Y71" i="5"/>
  <c r="V71" i="5"/>
  <c r="AQ71" i="5" s="1"/>
  <c r="AJ70" i="5"/>
  <c r="AF70" i="5"/>
  <c r="Z70" i="5"/>
  <c r="Y70" i="5"/>
  <c r="V70" i="5"/>
  <c r="AQ70" i="5" s="1"/>
  <c r="AK69" i="5"/>
  <c r="AF69" i="5"/>
  <c r="Z69" i="5"/>
  <c r="Y69" i="5"/>
  <c r="V69" i="5"/>
  <c r="AQ69" i="5" s="1"/>
  <c r="AJ68" i="5"/>
  <c r="AF68" i="5"/>
  <c r="Z68" i="5"/>
  <c r="Y68" i="5"/>
  <c r="V68" i="5"/>
  <c r="AQ68" i="5" s="1"/>
  <c r="AK67" i="5"/>
  <c r="AF67" i="5"/>
  <c r="Z67" i="5"/>
  <c r="Y67" i="5"/>
  <c r="V67" i="5"/>
  <c r="AQ67" i="5" s="1"/>
  <c r="AJ66" i="5"/>
  <c r="AF66" i="5"/>
  <c r="Z66" i="5"/>
  <c r="Y66" i="5"/>
  <c r="V66" i="5"/>
  <c r="AB66" i="5" s="1"/>
  <c r="AK65" i="5"/>
  <c r="AF65" i="5"/>
  <c r="AA65" i="5"/>
  <c r="Z65" i="5"/>
  <c r="Y65" i="5"/>
  <c r="V65" i="5"/>
  <c r="AQ65" i="5" s="1"/>
  <c r="AJ64" i="5"/>
  <c r="AF64" i="5"/>
  <c r="Z64" i="5"/>
  <c r="Y64" i="5"/>
  <c r="V64" i="5"/>
  <c r="AQ64" i="5" s="1"/>
  <c r="AK63" i="5"/>
  <c r="AF63" i="5"/>
  <c r="Z63" i="5"/>
  <c r="Y63" i="5"/>
  <c r="V63" i="5"/>
  <c r="AQ63" i="5" s="1"/>
  <c r="AJ62" i="5"/>
  <c r="AF62" i="5"/>
  <c r="AB62" i="5"/>
  <c r="Z62" i="5"/>
  <c r="Y62" i="5"/>
  <c r="V62" i="5"/>
  <c r="AQ62" i="5" s="1"/>
  <c r="AP61" i="5"/>
  <c r="AK61" i="5"/>
  <c r="AF61" i="5"/>
  <c r="Z61" i="5"/>
  <c r="Y61" i="5"/>
  <c r="V61" i="5"/>
  <c r="AQ61" i="5" s="1"/>
  <c r="AJ60" i="5"/>
  <c r="AF60" i="5"/>
  <c r="Z60" i="5"/>
  <c r="Y60" i="5"/>
  <c r="V60" i="5"/>
  <c r="AB60" i="5" s="1"/>
  <c r="AK59" i="5"/>
  <c r="AF59" i="5"/>
  <c r="Z59" i="5"/>
  <c r="Y59" i="5"/>
  <c r="V59" i="5"/>
  <c r="AQ59" i="5" s="1"/>
  <c r="AJ58" i="5"/>
  <c r="AF58" i="5"/>
  <c r="Z58" i="5"/>
  <c r="Y58" i="5"/>
  <c r="V58" i="5"/>
  <c r="AB58" i="5" s="1"/>
  <c r="AK57" i="5"/>
  <c r="AF57" i="5"/>
  <c r="Z57" i="5"/>
  <c r="Y57" i="5"/>
  <c r="V57" i="5"/>
  <c r="AQ57" i="5" s="1"/>
  <c r="AJ56" i="5"/>
  <c r="AF56" i="5"/>
  <c r="Z56" i="5"/>
  <c r="Y56" i="5"/>
  <c r="V56" i="5"/>
  <c r="AK55" i="5"/>
  <c r="AF55" i="5"/>
  <c r="Z55" i="5"/>
  <c r="Y55" i="5"/>
  <c r="V55" i="5"/>
  <c r="AQ55" i="5" s="1"/>
  <c r="AJ54" i="5"/>
  <c r="AF54" i="5"/>
  <c r="AB54" i="5"/>
  <c r="Z54" i="5"/>
  <c r="Y54" i="5"/>
  <c r="V54" i="5"/>
  <c r="AQ54" i="5" s="1"/>
  <c r="AP53" i="5"/>
  <c r="AK53" i="5"/>
  <c r="AF53" i="5"/>
  <c r="Z53" i="5"/>
  <c r="Y53" i="5"/>
  <c r="V53" i="5"/>
  <c r="AQ53" i="5" s="1"/>
  <c r="AJ52" i="5"/>
  <c r="AF52" i="5"/>
  <c r="Z52" i="5"/>
  <c r="Y52" i="5"/>
  <c r="V52" i="5"/>
  <c r="AB52" i="5" s="1"/>
  <c r="AK51" i="5"/>
  <c r="AF51" i="5"/>
  <c r="Z51" i="5"/>
  <c r="Y51" i="5"/>
  <c r="V51" i="5"/>
  <c r="AQ51" i="5" s="1"/>
  <c r="AJ50" i="5"/>
  <c r="AF50" i="5"/>
  <c r="Z50" i="5"/>
  <c r="Y50" i="5"/>
  <c r="V50" i="5"/>
  <c r="AB50" i="5" s="1"/>
  <c r="AK49" i="5"/>
  <c r="AF49" i="5"/>
  <c r="Z49" i="5"/>
  <c r="Y49" i="5"/>
  <c r="V49" i="5"/>
  <c r="AQ49" i="5" s="1"/>
  <c r="AJ48" i="5"/>
  <c r="AF48" i="5"/>
  <c r="Z48" i="5"/>
  <c r="Y48" i="5"/>
  <c r="V48" i="5"/>
  <c r="AK47" i="5"/>
  <c r="AF47" i="5"/>
  <c r="Z47" i="5"/>
  <c r="Y47" i="5"/>
  <c r="V47" i="5"/>
  <c r="AQ47" i="5" s="1"/>
  <c r="AJ46" i="5"/>
  <c r="AF46" i="5"/>
  <c r="Z46" i="5"/>
  <c r="Y46" i="5"/>
  <c r="V46" i="5"/>
  <c r="AB46" i="5" s="1"/>
  <c r="AK45" i="5"/>
  <c r="AF45" i="5"/>
  <c r="Z45" i="5"/>
  <c r="Y45" i="5"/>
  <c r="V45" i="5"/>
  <c r="AQ45" i="5" s="1"/>
  <c r="AP44" i="5"/>
  <c r="AJ44" i="5"/>
  <c r="AF44" i="5"/>
  <c r="Z44" i="5"/>
  <c r="Y44" i="5"/>
  <c r="V44" i="5"/>
  <c r="AQ44" i="5" s="1"/>
  <c r="AK43" i="5"/>
  <c r="AF43" i="5"/>
  <c r="Z43" i="5"/>
  <c r="Y43" i="5"/>
  <c r="V43" i="5"/>
  <c r="AB43" i="5" s="1"/>
  <c r="AJ42" i="5"/>
  <c r="AF42" i="5"/>
  <c r="Z42" i="5"/>
  <c r="Y42" i="5"/>
  <c r="V42" i="5"/>
  <c r="AQ42" i="5" s="1"/>
  <c r="AK41" i="5"/>
  <c r="AF41" i="5"/>
  <c r="Z41" i="5"/>
  <c r="Y41" i="5"/>
  <c r="V41" i="5"/>
  <c r="AQ41" i="5" s="1"/>
  <c r="AJ40" i="5"/>
  <c r="AF40" i="5"/>
  <c r="Z40" i="5"/>
  <c r="Y40" i="5"/>
  <c r="V40" i="5"/>
  <c r="AQ40" i="5" s="1"/>
  <c r="AK39" i="5"/>
  <c r="AF39" i="5"/>
  <c r="Z39" i="5"/>
  <c r="Y39" i="5"/>
  <c r="V39" i="5"/>
  <c r="AQ39" i="5" s="1"/>
  <c r="AJ38" i="5"/>
  <c r="AF38" i="5"/>
  <c r="Z38" i="5"/>
  <c r="Y38" i="5"/>
  <c r="V38" i="5"/>
  <c r="AQ38" i="5" s="1"/>
  <c r="AK37" i="5"/>
  <c r="AF37" i="5"/>
  <c r="Z37" i="5"/>
  <c r="Y37" i="5"/>
  <c r="V37" i="5"/>
  <c r="AQ37" i="5" s="1"/>
  <c r="AJ36" i="5"/>
  <c r="AF36" i="5"/>
  <c r="Z36" i="5"/>
  <c r="Y36" i="5"/>
  <c r="V36" i="5"/>
  <c r="AQ36" i="5" s="1"/>
  <c r="AQ35" i="5"/>
  <c r="AK35" i="5"/>
  <c r="AF35" i="5"/>
  <c r="Z35" i="5"/>
  <c r="Y35" i="5"/>
  <c r="V35" i="5"/>
  <c r="AB35" i="5" s="1"/>
  <c r="AJ34" i="5"/>
  <c r="AF34" i="5"/>
  <c r="Z34" i="5"/>
  <c r="Y34" i="5"/>
  <c r="V34" i="5"/>
  <c r="AQ34" i="5" s="1"/>
  <c r="AK33" i="5"/>
  <c r="AF33" i="5"/>
  <c r="Z33" i="5"/>
  <c r="Y33" i="5"/>
  <c r="V33" i="5"/>
  <c r="AQ33" i="5" s="1"/>
  <c r="AJ32" i="5"/>
  <c r="AF32" i="5"/>
  <c r="Z32" i="5"/>
  <c r="Y32" i="5"/>
  <c r="V32" i="5"/>
  <c r="AQ32" i="5" s="1"/>
  <c r="AK31" i="5"/>
  <c r="AF31" i="5"/>
  <c r="Z31" i="5"/>
  <c r="Y31" i="5"/>
  <c r="V31" i="5"/>
  <c r="AP30" i="5"/>
  <c r="AJ30" i="5"/>
  <c r="AF30" i="5"/>
  <c r="Z30" i="5"/>
  <c r="Y30" i="5"/>
  <c r="V30" i="5"/>
  <c r="AQ30" i="5" s="1"/>
  <c r="AJ29" i="5"/>
  <c r="AF29" i="5"/>
  <c r="Z29" i="5"/>
  <c r="Y29" i="5"/>
  <c r="V29" i="5"/>
  <c r="AQ29" i="5" s="1"/>
  <c r="AJ28" i="5"/>
  <c r="AF28" i="5"/>
  <c r="Z28" i="5"/>
  <c r="Y28" i="5"/>
  <c r="V28" i="5"/>
  <c r="AQ28" i="5" s="1"/>
  <c r="AJ27" i="5"/>
  <c r="AF27" i="5"/>
  <c r="Z27" i="5"/>
  <c r="Y27" i="5"/>
  <c r="V27" i="5"/>
  <c r="AB27" i="5" s="1"/>
  <c r="AP26" i="5"/>
  <c r="AJ26" i="5"/>
  <c r="AF26" i="5"/>
  <c r="Z26" i="5"/>
  <c r="Y26" i="5"/>
  <c r="V26" i="5"/>
  <c r="AQ26" i="5" s="1"/>
  <c r="AJ25" i="5"/>
  <c r="AF25" i="5"/>
  <c r="Z25" i="5"/>
  <c r="Y25" i="5"/>
  <c r="V25" i="5"/>
  <c r="AQ25" i="5" s="1"/>
  <c r="AP24" i="5"/>
  <c r="AJ24" i="5"/>
  <c r="AF24" i="5"/>
  <c r="Z24" i="5"/>
  <c r="Y24" i="5"/>
  <c r="V24" i="5"/>
  <c r="AQ24" i="5" s="1"/>
  <c r="AJ23" i="5"/>
  <c r="AF23" i="5"/>
  <c r="Z23" i="5"/>
  <c r="Y23" i="5"/>
  <c r="V23" i="5"/>
  <c r="AB23" i="5" s="1"/>
  <c r="AJ22" i="5"/>
  <c r="AF22" i="5"/>
  <c r="Z22" i="5"/>
  <c r="Y22" i="5"/>
  <c r="V22" i="5"/>
  <c r="AQ22" i="5" s="1"/>
  <c r="AJ21" i="5"/>
  <c r="AF21" i="5"/>
  <c r="AB21" i="5"/>
  <c r="Z21" i="5"/>
  <c r="Y21" i="5"/>
  <c r="V21" i="5"/>
  <c r="AQ21" i="5" s="1"/>
  <c r="AP20" i="5"/>
  <c r="AJ20" i="5"/>
  <c r="AF20" i="5"/>
  <c r="Z20" i="5"/>
  <c r="Y20" i="5"/>
  <c r="V20" i="5"/>
  <c r="AQ20" i="5" s="1"/>
  <c r="AJ19" i="5"/>
  <c r="AF19" i="5"/>
  <c r="Z19" i="5"/>
  <c r="Y19" i="5"/>
  <c r="V19" i="5"/>
  <c r="AB19" i="5" s="1"/>
  <c r="AJ18" i="5"/>
  <c r="AF18" i="5"/>
  <c r="Z18" i="5"/>
  <c r="Y18" i="5"/>
  <c r="V18" i="5"/>
  <c r="AQ18" i="5" s="1"/>
  <c r="AJ17" i="5"/>
  <c r="AF17" i="5"/>
  <c r="Z17" i="5"/>
  <c r="Y17" i="5"/>
  <c r="V17" i="5"/>
  <c r="AQ17" i="5" s="1"/>
  <c r="AJ16" i="5"/>
  <c r="AF16" i="5"/>
  <c r="Z16" i="5"/>
  <c r="Y16" i="5"/>
  <c r="V16" i="5"/>
  <c r="AQ16" i="5" s="1"/>
  <c r="AJ15" i="5"/>
  <c r="AF15" i="5"/>
  <c r="AA15" i="5"/>
  <c r="Z15" i="5"/>
  <c r="Y15" i="5"/>
  <c r="V15" i="5"/>
  <c r="AP15" i="5" s="1"/>
  <c r="AQ14" i="5"/>
  <c r="AJ14" i="5"/>
  <c r="AF14" i="5"/>
  <c r="Z14" i="5"/>
  <c r="Y14" i="5"/>
  <c r="V14" i="5"/>
  <c r="AP14" i="5" s="1"/>
  <c r="AJ13" i="5"/>
  <c r="AF13" i="5"/>
  <c r="Z13" i="5"/>
  <c r="Y13" i="5"/>
  <c r="V13" i="5"/>
  <c r="AB13" i="5" s="1"/>
  <c r="AP12" i="5"/>
  <c r="AJ12" i="5"/>
  <c r="AF12" i="5"/>
  <c r="AA12" i="5"/>
  <c r="Z12" i="5"/>
  <c r="Y12" i="5"/>
  <c r="V12" i="5"/>
  <c r="AQ12" i="5" s="1"/>
  <c r="AJ11" i="5"/>
  <c r="AF11" i="5"/>
  <c r="Z11" i="5"/>
  <c r="Y11" i="5"/>
  <c r="V11" i="5"/>
  <c r="AP11" i="5" s="1"/>
  <c r="AJ10" i="5"/>
  <c r="AF10" i="5"/>
  <c r="Z10" i="5"/>
  <c r="Y10" i="5"/>
  <c r="V10" i="5"/>
  <c r="AP10" i="5" s="1"/>
  <c r="AJ9" i="5"/>
  <c r="AF9" i="5"/>
  <c r="Z9" i="5"/>
  <c r="Y9" i="5"/>
  <c r="V9" i="5"/>
  <c r="AB9" i="5" s="1"/>
  <c r="AJ8" i="5"/>
  <c r="AF8" i="5"/>
  <c r="Z8" i="5"/>
  <c r="Y8" i="5"/>
  <c r="V8" i="5"/>
  <c r="AQ8" i="5" s="1"/>
  <c r="AJ7" i="5"/>
  <c r="AF7" i="5"/>
  <c r="Z7" i="5"/>
  <c r="Y7" i="5"/>
  <c r="V7" i="5"/>
  <c r="AQ7" i="5" s="1"/>
  <c r="AJ6" i="5"/>
  <c r="AF6" i="5"/>
  <c r="Z6" i="5"/>
  <c r="Y6" i="5"/>
  <c r="V6" i="5"/>
  <c r="AP6" i="5" s="1"/>
  <c r="AJ5" i="5"/>
  <c r="AF5" i="5"/>
  <c r="Z5" i="5"/>
  <c r="Y5" i="5"/>
  <c r="V5" i="5"/>
  <c r="AB5" i="5" s="1"/>
  <c r="AJ4" i="5"/>
  <c r="AF4" i="5"/>
  <c r="Z4" i="5"/>
  <c r="Y4" i="5"/>
  <c r="V4" i="5"/>
  <c r="AQ4" i="5" s="1"/>
  <c r="AJ3" i="5"/>
  <c r="AF3" i="5"/>
  <c r="Z3" i="5"/>
  <c r="Y3" i="5"/>
  <c r="V3" i="5"/>
  <c r="AB3" i="5" s="1"/>
  <c r="AQ2" i="5"/>
  <c r="AJ2" i="5"/>
  <c r="AF2" i="5"/>
  <c r="Z2" i="5"/>
  <c r="Y2" i="5"/>
  <c r="V2" i="5"/>
  <c r="AP2" i="5" s="1"/>
  <c r="E4" i="4"/>
  <c r="F4" i="4"/>
  <c r="E5" i="4"/>
  <c r="F5" i="4"/>
  <c r="E6" i="4"/>
  <c r="F6" i="4"/>
  <c r="E7" i="4"/>
  <c r="F7" i="4"/>
  <c r="E8" i="4"/>
  <c r="F8" i="4"/>
  <c r="E9" i="4"/>
  <c r="F9" i="4"/>
  <c r="E10" i="4"/>
  <c r="F10" i="4"/>
  <c r="E11" i="4"/>
  <c r="F11" i="4"/>
  <c r="E12" i="4"/>
  <c r="F12" i="4"/>
  <c r="E13" i="4"/>
  <c r="F13" i="4"/>
  <c r="E14" i="4"/>
  <c r="F14" i="4"/>
  <c r="E15" i="4"/>
  <c r="F15" i="4"/>
  <c r="E16" i="4"/>
  <c r="F16" i="4"/>
  <c r="E17" i="4"/>
  <c r="F17" i="4"/>
  <c r="E18" i="4"/>
  <c r="F18" i="4"/>
  <c r="E19" i="4"/>
  <c r="F19" i="4"/>
  <c r="E20" i="4"/>
  <c r="F20" i="4"/>
  <c r="E21" i="4"/>
  <c r="F21" i="4"/>
  <c r="E22" i="4"/>
  <c r="F22" i="4"/>
  <c r="E23" i="4"/>
  <c r="F23" i="4"/>
  <c r="E24" i="4"/>
  <c r="F24" i="4"/>
  <c r="E25" i="4"/>
  <c r="F25" i="4"/>
  <c r="E26" i="4"/>
  <c r="F26" i="4"/>
  <c r="E27" i="4"/>
  <c r="F27" i="4"/>
  <c r="E28" i="4"/>
  <c r="F28" i="4"/>
  <c r="E29" i="4"/>
  <c r="F29" i="4"/>
  <c r="E30" i="4"/>
  <c r="F30" i="4"/>
  <c r="E31" i="4"/>
  <c r="F31" i="4"/>
  <c r="E32" i="4"/>
  <c r="F32" i="4"/>
  <c r="E33" i="4"/>
  <c r="F33" i="4"/>
  <c r="E34" i="4"/>
  <c r="F34" i="4"/>
  <c r="E35" i="4"/>
  <c r="F35" i="4"/>
  <c r="E36" i="4"/>
  <c r="F36" i="4"/>
  <c r="E37" i="4"/>
  <c r="F37" i="4"/>
  <c r="E38" i="4"/>
  <c r="F38" i="4"/>
  <c r="E39" i="4"/>
  <c r="F39" i="4"/>
  <c r="E40" i="4"/>
  <c r="F40" i="4"/>
  <c r="E41" i="4"/>
  <c r="F41" i="4"/>
  <c r="E42" i="4"/>
  <c r="F42" i="4"/>
  <c r="E43" i="4"/>
  <c r="F43" i="4"/>
  <c r="E44" i="4"/>
  <c r="F44" i="4"/>
  <c r="E45" i="4"/>
  <c r="F45" i="4"/>
  <c r="E46" i="4"/>
  <c r="F46" i="4"/>
  <c r="E47" i="4"/>
  <c r="F47" i="4"/>
  <c r="E48" i="4"/>
  <c r="F48" i="4"/>
  <c r="E49" i="4"/>
  <c r="F49" i="4"/>
  <c r="E50" i="4"/>
  <c r="F50" i="4"/>
  <c r="E51" i="4"/>
  <c r="F51" i="4"/>
  <c r="E52" i="4"/>
  <c r="F52" i="4"/>
  <c r="E53" i="4"/>
  <c r="F53" i="4"/>
  <c r="E54" i="4"/>
  <c r="F54" i="4"/>
  <c r="E55" i="4"/>
  <c r="F55" i="4"/>
  <c r="E56" i="4"/>
  <c r="F56" i="4"/>
  <c r="E57" i="4"/>
  <c r="F57" i="4"/>
  <c r="E58" i="4"/>
  <c r="F58" i="4"/>
  <c r="E59" i="4"/>
  <c r="F59" i="4"/>
  <c r="E60" i="4"/>
  <c r="F60" i="4"/>
  <c r="E61" i="4"/>
  <c r="F61" i="4"/>
  <c r="E62" i="4"/>
  <c r="F62" i="4"/>
  <c r="E63" i="4"/>
  <c r="F63" i="4"/>
  <c r="E64" i="4"/>
  <c r="F64" i="4"/>
  <c r="E65" i="4"/>
  <c r="F65" i="4"/>
  <c r="E66" i="4"/>
  <c r="F66" i="4"/>
  <c r="E67" i="4"/>
  <c r="F67" i="4"/>
  <c r="E68" i="4"/>
  <c r="F68" i="4"/>
  <c r="E69" i="4"/>
  <c r="F69" i="4"/>
  <c r="F3" i="4"/>
  <c r="E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3" i="4"/>
  <c r="AK31" i="1"/>
  <c r="AK33" i="1"/>
  <c r="AK35" i="1"/>
  <c r="AK37" i="1"/>
  <c r="AK39" i="1"/>
  <c r="AK41" i="1"/>
  <c r="AK43" i="1"/>
  <c r="AK45" i="1"/>
  <c r="AK47" i="1"/>
  <c r="AK49" i="1"/>
  <c r="AK51" i="1"/>
  <c r="AK53" i="1"/>
  <c r="AK55" i="1"/>
  <c r="AK57" i="1"/>
  <c r="AK59" i="1"/>
  <c r="AK61" i="1"/>
  <c r="AK63" i="1"/>
  <c r="AK65" i="1"/>
  <c r="AK67" i="1"/>
  <c r="AK69" i="1"/>
  <c r="AK71" i="1"/>
  <c r="AK73" i="1"/>
  <c r="AK75" i="1"/>
  <c r="AK77" i="1"/>
  <c r="AK79" i="1"/>
  <c r="AK81" i="1"/>
  <c r="AK83" i="1"/>
  <c r="AK85" i="1"/>
  <c r="AK87" i="1"/>
  <c r="AK89" i="1"/>
  <c r="AK91" i="1"/>
  <c r="AK93" i="1"/>
  <c r="AK95" i="1"/>
  <c r="AK97" i="1"/>
  <c r="AK99" i="1"/>
  <c r="AK101" i="1"/>
  <c r="AK103" i="1"/>
  <c r="AK105" i="1"/>
  <c r="AJ3" i="1"/>
  <c r="AJ4" i="1"/>
  <c r="AJ5" i="1"/>
  <c r="AJ6" i="1"/>
  <c r="AJ7" i="1"/>
  <c r="AJ8" i="1"/>
  <c r="AJ9" i="1"/>
  <c r="AJ10" i="1"/>
  <c r="AJ11" i="1"/>
  <c r="AJ12" i="1"/>
  <c r="AJ13" i="1"/>
  <c r="AJ14" i="1"/>
  <c r="AJ15" i="1"/>
  <c r="AJ16" i="1"/>
  <c r="AJ17" i="1"/>
  <c r="AJ18" i="1"/>
  <c r="AJ19" i="1"/>
  <c r="AJ20" i="1"/>
  <c r="AJ21" i="1"/>
  <c r="AJ22" i="1"/>
  <c r="AJ23" i="1"/>
  <c r="AJ24" i="1"/>
  <c r="AJ25" i="1"/>
  <c r="AJ26" i="1"/>
  <c r="AJ27" i="1"/>
  <c r="AJ28" i="1"/>
  <c r="AJ29" i="1"/>
  <c r="AJ30" i="1"/>
  <c r="AJ32" i="1"/>
  <c r="AJ34" i="1"/>
  <c r="AJ36" i="1"/>
  <c r="AJ38" i="1"/>
  <c r="AJ40" i="1"/>
  <c r="AJ42" i="1"/>
  <c r="AJ44" i="1"/>
  <c r="AJ46" i="1"/>
  <c r="AJ48" i="1"/>
  <c r="AJ50" i="1"/>
  <c r="AJ52" i="1"/>
  <c r="AJ54" i="1"/>
  <c r="AJ56" i="1"/>
  <c r="AJ58" i="1"/>
  <c r="AJ60" i="1"/>
  <c r="AJ62" i="1"/>
  <c r="AJ64" i="1"/>
  <c r="AJ66" i="1"/>
  <c r="AJ68" i="1"/>
  <c r="AJ70" i="1"/>
  <c r="AJ72" i="1"/>
  <c r="AJ74" i="1"/>
  <c r="AJ76" i="1"/>
  <c r="AJ78" i="1"/>
  <c r="AJ80" i="1"/>
  <c r="AJ82" i="1"/>
  <c r="AJ84" i="1"/>
  <c r="AJ86" i="1"/>
  <c r="AJ88" i="1"/>
  <c r="AJ90" i="1"/>
  <c r="AJ92" i="1"/>
  <c r="AJ94" i="1"/>
  <c r="AJ96" i="1"/>
  <c r="AJ98" i="1"/>
  <c r="AJ100" i="1"/>
  <c r="AJ102" i="1"/>
  <c r="AJ104" i="1"/>
  <c r="AJ106" i="1"/>
  <c r="AJ2" i="1"/>
  <c r="Y3" i="1"/>
  <c r="Z3" i="1"/>
  <c r="AF3" i="1"/>
  <c r="Y4" i="1"/>
  <c r="Z4" i="1"/>
  <c r="AF4" i="1"/>
  <c r="Y5" i="1"/>
  <c r="Z5" i="1"/>
  <c r="AF5" i="1"/>
  <c r="Y6" i="1"/>
  <c r="Z6" i="1"/>
  <c r="AF6" i="1"/>
  <c r="Y7" i="1"/>
  <c r="Z7" i="1"/>
  <c r="AF7" i="1"/>
  <c r="Y8" i="1"/>
  <c r="Z8" i="1"/>
  <c r="AF8" i="1"/>
  <c r="Y9" i="1"/>
  <c r="Z9" i="1"/>
  <c r="AF9" i="1"/>
  <c r="Y10" i="1"/>
  <c r="Z10" i="1"/>
  <c r="AF10" i="1"/>
  <c r="Y11" i="1"/>
  <c r="Z11" i="1"/>
  <c r="AF11" i="1"/>
  <c r="Y12" i="1"/>
  <c r="Z12" i="1"/>
  <c r="AF12" i="1"/>
  <c r="Y13" i="1"/>
  <c r="Z13" i="1"/>
  <c r="AF13" i="1"/>
  <c r="Y14" i="1"/>
  <c r="Z14" i="1"/>
  <c r="AF14" i="1"/>
  <c r="Y15" i="1"/>
  <c r="Z15" i="1"/>
  <c r="AF15" i="1"/>
  <c r="Y16" i="1"/>
  <c r="Z16" i="1"/>
  <c r="AF16" i="1"/>
  <c r="Y17" i="1"/>
  <c r="Z17" i="1"/>
  <c r="AF17" i="1"/>
  <c r="Y18" i="1"/>
  <c r="Z18" i="1"/>
  <c r="AF18" i="1"/>
  <c r="Y19" i="1"/>
  <c r="Z19" i="1"/>
  <c r="AF19" i="1"/>
  <c r="Y20" i="1"/>
  <c r="Z20" i="1"/>
  <c r="AF20" i="1"/>
  <c r="Y21" i="1"/>
  <c r="Z21" i="1"/>
  <c r="AF21" i="1"/>
  <c r="Y22" i="1"/>
  <c r="Z22" i="1"/>
  <c r="AF22" i="1"/>
  <c r="Y23" i="1"/>
  <c r="Z23" i="1"/>
  <c r="AF23" i="1"/>
  <c r="Y24" i="1"/>
  <c r="Z24" i="1"/>
  <c r="AF24" i="1"/>
  <c r="Y25" i="1"/>
  <c r="Z25" i="1"/>
  <c r="AF25" i="1"/>
  <c r="Y26" i="1"/>
  <c r="Z26" i="1"/>
  <c r="AF26" i="1"/>
  <c r="Y27" i="1"/>
  <c r="Z27" i="1"/>
  <c r="AF27" i="1"/>
  <c r="Y28" i="1"/>
  <c r="Z28" i="1"/>
  <c r="AF28" i="1"/>
  <c r="Y29" i="1"/>
  <c r="Z29" i="1"/>
  <c r="AF29" i="1"/>
  <c r="Y30" i="1"/>
  <c r="Z30" i="1"/>
  <c r="AF30" i="1"/>
  <c r="Y31" i="1"/>
  <c r="Z31" i="1"/>
  <c r="AF31" i="1"/>
  <c r="Y32" i="1"/>
  <c r="Z32" i="1"/>
  <c r="AF32" i="1"/>
  <c r="Y33" i="1"/>
  <c r="Z33" i="1"/>
  <c r="AF33" i="1"/>
  <c r="Y34" i="1"/>
  <c r="Z34" i="1"/>
  <c r="AF34" i="1"/>
  <c r="Y35" i="1"/>
  <c r="Z35" i="1"/>
  <c r="AF35" i="1"/>
  <c r="Y36" i="1"/>
  <c r="Z36" i="1"/>
  <c r="AF36" i="1"/>
  <c r="Y37" i="1"/>
  <c r="Z37" i="1"/>
  <c r="AF37" i="1"/>
  <c r="Y38" i="1"/>
  <c r="Z38" i="1"/>
  <c r="AF38" i="1"/>
  <c r="Y39" i="1"/>
  <c r="Z39" i="1"/>
  <c r="AF39" i="1"/>
  <c r="Y40" i="1"/>
  <c r="Z40" i="1"/>
  <c r="AF40" i="1"/>
  <c r="Y41" i="1"/>
  <c r="Z41" i="1"/>
  <c r="AF41" i="1"/>
  <c r="Y42" i="1"/>
  <c r="Z42" i="1"/>
  <c r="AF42" i="1"/>
  <c r="Y43" i="1"/>
  <c r="Z43" i="1"/>
  <c r="AF43" i="1"/>
  <c r="Y44" i="1"/>
  <c r="Z44" i="1"/>
  <c r="AF44" i="1"/>
  <c r="Y45" i="1"/>
  <c r="Z45" i="1"/>
  <c r="AF45" i="1"/>
  <c r="Y46" i="1"/>
  <c r="Z46" i="1"/>
  <c r="AF46" i="1"/>
  <c r="Y47" i="1"/>
  <c r="Z47" i="1"/>
  <c r="AF47" i="1"/>
  <c r="Y48" i="1"/>
  <c r="Z48" i="1"/>
  <c r="AF48" i="1"/>
  <c r="Y49" i="1"/>
  <c r="Z49" i="1"/>
  <c r="AF49" i="1"/>
  <c r="Y50" i="1"/>
  <c r="Z50" i="1"/>
  <c r="AF50" i="1"/>
  <c r="Y51" i="1"/>
  <c r="Z51" i="1"/>
  <c r="AF51" i="1"/>
  <c r="Y52" i="1"/>
  <c r="Z52" i="1"/>
  <c r="AF52" i="1"/>
  <c r="Y53" i="1"/>
  <c r="Z53" i="1"/>
  <c r="AF53" i="1"/>
  <c r="Y54" i="1"/>
  <c r="Z54" i="1"/>
  <c r="AF54" i="1"/>
  <c r="Y55" i="1"/>
  <c r="Z55" i="1"/>
  <c r="AF55" i="1"/>
  <c r="Y56" i="1"/>
  <c r="Z56" i="1"/>
  <c r="AF56" i="1"/>
  <c r="Y57" i="1"/>
  <c r="Z57" i="1"/>
  <c r="AF57" i="1"/>
  <c r="Y58" i="1"/>
  <c r="Z58" i="1"/>
  <c r="AF58" i="1"/>
  <c r="Y59" i="1"/>
  <c r="Z59" i="1"/>
  <c r="AF59" i="1"/>
  <c r="Y60" i="1"/>
  <c r="Z60" i="1"/>
  <c r="AF60" i="1"/>
  <c r="Y61" i="1"/>
  <c r="Z61" i="1"/>
  <c r="AF61" i="1"/>
  <c r="Y62" i="1"/>
  <c r="Z62" i="1"/>
  <c r="AF62" i="1"/>
  <c r="Y63" i="1"/>
  <c r="Z63" i="1"/>
  <c r="AF63" i="1"/>
  <c r="Y64" i="1"/>
  <c r="Z64" i="1"/>
  <c r="AF64" i="1"/>
  <c r="Y65" i="1"/>
  <c r="Z65" i="1"/>
  <c r="AF65" i="1"/>
  <c r="Y66" i="1"/>
  <c r="Z66" i="1"/>
  <c r="AF66" i="1"/>
  <c r="Y67" i="1"/>
  <c r="Z67" i="1"/>
  <c r="AF67" i="1"/>
  <c r="Y68" i="1"/>
  <c r="Z68" i="1"/>
  <c r="AF68" i="1"/>
  <c r="Y69" i="1"/>
  <c r="Z69" i="1"/>
  <c r="AF69" i="1"/>
  <c r="Y70" i="1"/>
  <c r="Z70" i="1"/>
  <c r="AF70" i="1"/>
  <c r="Y71" i="1"/>
  <c r="Z71" i="1"/>
  <c r="AF71" i="1"/>
  <c r="Y72" i="1"/>
  <c r="Z72" i="1"/>
  <c r="AF72" i="1"/>
  <c r="Y73" i="1"/>
  <c r="Z73" i="1"/>
  <c r="AF73" i="1"/>
  <c r="Y74" i="1"/>
  <c r="Z74" i="1"/>
  <c r="AF74" i="1"/>
  <c r="Y75" i="1"/>
  <c r="Z75" i="1"/>
  <c r="AF75" i="1"/>
  <c r="Y76" i="1"/>
  <c r="Z76" i="1"/>
  <c r="AF76" i="1"/>
  <c r="Y77" i="1"/>
  <c r="Z77" i="1"/>
  <c r="AF77" i="1"/>
  <c r="Y78" i="1"/>
  <c r="Z78" i="1"/>
  <c r="AF78" i="1"/>
  <c r="Y79" i="1"/>
  <c r="Z79" i="1"/>
  <c r="AF79" i="1"/>
  <c r="Y80" i="1"/>
  <c r="Z80" i="1"/>
  <c r="AF80" i="1"/>
  <c r="Y81" i="1"/>
  <c r="Z81" i="1"/>
  <c r="AF81" i="1"/>
  <c r="Y82" i="1"/>
  <c r="Z82" i="1"/>
  <c r="AF82" i="1"/>
  <c r="Y83" i="1"/>
  <c r="Z83" i="1"/>
  <c r="AF83" i="1"/>
  <c r="Y84" i="1"/>
  <c r="Z84" i="1"/>
  <c r="AF84" i="1"/>
  <c r="Y85" i="1"/>
  <c r="Z85" i="1"/>
  <c r="AF85" i="1"/>
  <c r="Y86" i="1"/>
  <c r="Z86" i="1"/>
  <c r="AF86" i="1"/>
  <c r="Y87" i="1"/>
  <c r="Z87" i="1"/>
  <c r="AF87" i="1"/>
  <c r="Y88" i="1"/>
  <c r="Z88" i="1"/>
  <c r="AF88" i="1"/>
  <c r="Y89" i="1"/>
  <c r="Z89" i="1"/>
  <c r="AF89" i="1"/>
  <c r="Y90" i="1"/>
  <c r="Z90" i="1"/>
  <c r="AF90" i="1"/>
  <c r="Y91" i="1"/>
  <c r="Z91" i="1"/>
  <c r="AF91" i="1"/>
  <c r="Y92" i="1"/>
  <c r="Z92" i="1"/>
  <c r="AF92" i="1"/>
  <c r="Y93" i="1"/>
  <c r="Z93" i="1"/>
  <c r="AF93" i="1"/>
  <c r="Y94" i="1"/>
  <c r="Z94" i="1"/>
  <c r="AF94" i="1"/>
  <c r="Y95" i="1"/>
  <c r="Z95" i="1"/>
  <c r="AF95" i="1"/>
  <c r="Y96" i="1"/>
  <c r="Z96" i="1"/>
  <c r="AF96" i="1"/>
  <c r="Y97" i="1"/>
  <c r="Z97" i="1"/>
  <c r="AF97" i="1"/>
  <c r="Y98" i="1"/>
  <c r="Z98" i="1"/>
  <c r="AF98" i="1"/>
  <c r="Y99" i="1"/>
  <c r="Z99" i="1"/>
  <c r="AF99" i="1"/>
  <c r="Y100" i="1"/>
  <c r="Z100" i="1"/>
  <c r="AF100" i="1"/>
  <c r="Y101" i="1"/>
  <c r="Z101" i="1"/>
  <c r="AF101" i="1"/>
  <c r="Y102" i="1"/>
  <c r="Z102" i="1"/>
  <c r="AF102" i="1"/>
  <c r="Y103" i="1"/>
  <c r="Z103" i="1"/>
  <c r="AF103" i="1"/>
  <c r="Y104" i="1"/>
  <c r="Z104" i="1"/>
  <c r="AF104" i="1"/>
  <c r="Y105" i="1"/>
  <c r="Z105" i="1"/>
  <c r="AF105" i="1"/>
  <c r="Y106" i="1"/>
  <c r="Z106" i="1"/>
  <c r="AF106" i="1"/>
  <c r="AF2" i="1"/>
  <c r="Z2" i="1"/>
  <c r="Y2" i="1"/>
  <c r="V3" i="1"/>
  <c r="AA3" i="1" s="1"/>
  <c r="V4" i="1"/>
  <c r="AN4" i="1" s="1"/>
  <c r="V5" i="1"/>
  <c r="AA5" i="1" s="1"/>
  <c r="V6" i="1"/>
  <c r="AB6" i="1" s="1"/>
  <c r="V7" i="1"/>
  <c r="AA7" i="1" s="1"/>
  <c r="V8" i="1"/>
  <c r="AB8" i="1" s="1"/>
  <c r="V9" i="1"/>
  <c r="V10" i="1"/>
  <c r="AA10" i="1" s="1"/>
  <c r="V11" i="1"/>
  <c r="AB11" i="1" s="1"/>
  <c r="V12" i="1"/>
  <c r="AN12" i="1" s="1"/>
  <c r="V13" i="1"/>
  <c r="AA13" i="1" s="1"/>
  <c r="V14" i="1"/>
  <c r="AB14" i="1" s="1"/>
  <c r="V15" i="1"/>
  <c r="AA15" i="1" s="1"/>
  <c r="V16" i="1"/>
  <c r="AB16" i="1" s="1"/>
  <c r="V17" i="1"/>
  <c r="V18" i="1"/>
  <c r="AA18" i="1" s="1"/>
  <c r="V19" i="1"/>
  <c r="AB19" i="1" s="1"/>
  <c r="V20" i="1"/>
  <c r="AN20" i="1" s="1"/>
  <c r="V21" i="1"/>
  <c r="AA21" i="1" s="1"/>
  <c r="V22" i="1"/>
  <c r="AB22" i="1" s="1"/>
  <c r="V23" i="1"/>
  <c r="AA23" i="1" s="1"/>
  <c r="V24" i="1"/>
  <c r="AB24" i="1" s="1"/>
  <c r="V25" i="1"/>
  <c r="V26" i="1"/>
  <c r="AA26" i="1" s="1"/>
  <c r="V27" i="1"/>
  <c r="AB27" i="1" s="1"/>
  <c r="V28" i="1"/>
  <c r="AN28" i="1" s="1"/>
  <c r="V29" i="1"/>
  <c r="AA29" i="1" s="1"/>
  <c r="V30" i="1"/>
  <c r="AB30" i="1" s="1"/>
  <c r="V31" i="1"/>
  <c r="AA31" i="1" s="1"/>
  <c r="V32" i="1"/>
  <c r="AB32" i="1" s="1"/>
  <c r="V33" i="1"/>
  <c r="V34" i="1"/>
  <c r="AA34" i="1" s="1"/>
  <c r="V35" i="1"/>
  <c r="AB35" i="1" s="1"/>
  <c r="V36" i="1"/>
  <c r="AN36" i="1" s="1"/>
  <c r="V37" i="1"/>
  <c r="AA37" i="1" s="1"/>
  <c r="V38" i="1"/>
  <c r="AB38" i="1" s="1"/>
  <c r="V39" i="1"/>
  <c r="AA39" i="1" s="1"/>
  <c r="V40" i="1"/>
  <c r="AB40" i="1" s="1"/>
  <c r="V41" i="1"/>
  <c r="V42" i="1"/>
  <c r="AA42" i="1" s="1"/>
  <c r="V43" i="1"/>
  <c r="AB43" i="1" s="1"/>
  <c r="V44" i="1"/>
  <c r="AN44" i="1" s="1"/>
  <c r="V45" i="1"/>
  <c r="AA45" i="1" s="1"/>
  <c r="V46" i="1"/>
  <c r="AB46" i="1" s="1"/>
  <c r="V47" i="1"/>
  <c r="AA47" i="1" s="1"/>
  <c r="V48" i="1"/>
  <c r="AB48" i="1" s="1"/>
  <c r="V49" i="1"/>
  <c r="V50" i="1"/>
  <c r="AA50" i="1" s="1"/>
  <c r="V51" i="1"/>
  <c r="AB51" i="1" s="1"/>
  <c r="V52" i="1"/>
  <c r="AN52" i="1" s="1"/>
  <c r="V53" i="1"/>
  <c r="AA53" i="1" s="1"/>
  <c r="V54" i="1"/>
  <c r="AB54" i="1" s="1"/>
  <c r="V55" i="1"/>
  <c r="AA55" i="1" s="1"/>
  <c r="V56" i="1"/>
  <c r="AB56" i="1" s="1"/>
  <c r="V57" i="1"/>
  <c r="V58" i="1"/>
  <c r="AA58" i="1" s="1"/>
  <c r="V59" i="1"/>
  <c r="AB59" i="1" s="1"/>
  <c r="V60" i="1"/>
  <c r="AN60" i="1" s="1"/>
  <c r="V61" i="1"/>
  <c r="AB61" i="1" s="1"/>
  <c r="V62" i="1"/>
  <c r="AB62" i="1" s="1"/>
  <c r="V63" i="1"/>
  <c r="AA63" i="1" s="1"/>
  <c r="V64" i="1"/>
  <c r="AB64" i="1" s="1"/>
  <c r="V65" i="1"/>
  <c r="V66" i="1"/>
  <c r="AA66" i="1" s="1"/>
  <c r="V67" i="1"/>
  <c r="AB67" i="1" s="1"/>
  <c r="V68" i="1"/>
  <c r="AN68" i="1" s="1"/>
  <c r="V69" i="1"/>
  <c r="AB69" i="1" s="1"/>
  <c r="V70" i="1"/>
  <c r="AB70" i="1" s="1"/>
  <c r="V71" i="1"/>
  <c r="AA71" i="1" s="1"/>
  <c r="V72" i="1"/>
  <c r="AB72" i="1" s="1"/>
  <c r="V73" i="1"/>
  <c r="V74" i="1"/>
  <c r="AA74" i="1" s="1"/>
  <c r="V75" i="1"/>
  <c r="AB75" i="1" s="1"/>
  <c r="V76" i="1"/>
  <c r="AN76" i="1" s="1"/>
  <c r="V77" i="1"/>
  <c r="AB77" i="1" s="1"/>
  <c r="V78" i="1"/>
  <c r="AB78" i="1" s="1"/>
  <c r="V79" i="1"/>
  <c r="AA79" i="1" s="1"/>
  <c r="V80" i="1"/>
  <c r="AB80" i="1" s="1"/>
  <c r="V81" i="1"/>
  <c r="V82" i="1"/>
  <c r="AA82" i="1" s="1"/>
  <c r="V83" i="1"/>
  <c r="AB83" i="1" s="1"/>
  <c r="V84" i="1"/>
  <c r="AN84" i="1" s="1"/>
  <c r="V85" i="1"/>
  <c r="AB85" i="1" s="1"/>
  <c r="V86" i="1"/>
  <c r="AB86" i="1" s="1"/>
  <c r="V87" i="1"/>
  <c r="AA87" i="1" s="1"/>
  <c r="V88" i="1"/>
  <c r="AB88" i="1" s="1"/>
  <c r="V89" i="1"/>
  <c r="V90" i="1"/>
  <c r="AB90" i="1" s="1"/>
  <c r="V91" i="1"/>
  <c r="AB91" i="1" s="1"/>
  <c r="V92" i="1"/>
  <c r="AN92" i="1" s="1"/>
  <c r="V93" i="1"/>
  <c r="AB93" i="1" s="1"/>
  <c r="V94" i="1"/>
  <c r="AB94" i="1" s="1"/>
  <c r="V95" i="1"/>
  <c r="AA95" i="1" s="1"/>
  <c r="V96" i="1"/>
  <c r="AB96" i="1" s="1"/>
  <c r="V97" i="1"/>
  <c r="V98" i="1"/>
  <c r="AB98" i="1" s="1"/>
  <c r="V99" i="1"/>
  <c r="AB99" i="1" s="1"/>
  <c r="V100" i="1"/>
  <c r="AN100" i="1" s="1"/>
  <c r="V101" i="1"/>
  <c r="AB101" i="1" s="1"/>
  <c r="V102" i="1"/>
  <c r="AB102" i="1" s="1"/>
  <c r="V103" i="1"/>
  <c r="AA103" i="1" s="1"/>
  <c r="V104" i="1"/>
  <c r="AB104" i="1" s="1"/>
  <c r="V105" i="1"/>
  <c r="V106" i="1"/>
  <c r="AB106" i="1" s="1"/>
  <c r="V2" i="1"/>
  <c r="AB2" i="1" s="1"/>
  <c r="AA91" i="6" l="1"/>
  <c r="AP58" i="6"/>
  <c r="AA80" i="6"/>
  <c r="AA9" i="6"/>
  <c r="AG9" i="6" s="1"/>
  <c r="AA16" i="6"/>
  <c r="AA95" i="6"/>
  <c r="AB46" i="6"/>
  <c r="AQ67" i="6"/>
  <c r="AA4" i="6"/>
  <c r="AQ7" i="6"/>
  <c r="AP75" i="6"/>
  <c r="AQ78" i="6"/>
  <c r="AA85" i="6"/>
  <c r="AP85" i="6"/>
  <c r="AP97" i="6"/>
  <c r="AA2" i="6"/>
  <c r="AA28" i="6"/>
  <c r="AP60" i="6"/>
  <c r="AA63" i="6"/>
  <c r="AP73" i="6"/>
  <c r="AA11" i="6"/>
  <c r="AA20" i="6"/>
  <c r="AQ23" i="6"/>
  <c r="AA26" i="6"/>
  <c r="AC26" i="6" s="1"/>
  <c r="AA39" i="6"/>
  <c r="AP42" i="6"/>
  <c r="AP48" i="6"/>
  <c r="AP83" i="6"/>
  <c r="AA3" i="6"/>
  <c r="AA8" i="6"/>
  <c r="AA10" i="6"/>
  <c r="AA12" i="6"/>
  <c r="AQ15" i="6"/>
  <c r="AA17" i="6"/>
  <c r="AC17" i="6" s="1"/>
  <c r="AA19" i="6"/>
  <c r="AC19" i="6" s="1"/>
  <c r="AB32" i="6"/>
  <c r="AB38" i="6"/>
  <c r="AA55" i="6"/>
  <c r="AA57" i="6"/>
  <c r="AQ59" i="6"/>
  <c r="AA61" i="6"/>
  <c r="AP66" i="6"/>
  <c r="AA71" i="6"/>
  <c r="AA86" i="6"/>
  <c r="AA89" i="6"/>
  <c r="AP89" i="6"/>
  <c r="AP95" i="6"/>
  <c r="AQ83" i="6"/>
  <c r="AA25" i="6"/>
  <c r="AG25" i="6" s="1"/>
  <c r="AA27" i="6"/>
  <c r="AC27" i="6" s="1"/>
  <c r="AA47" i="6"/>
  <c r="AA53" i="6"/>
  <c r="AP64" i="6"/>
  <c r="AA69" i="6"/>
  <c r="AP77" i="6"/>
  <c r="AA83" i="6"/>
  <c r="AG83" i="6" s="1"/>
  <c r="AG95" i="6"/>
  <c r="AH95" i="6" s="1"/>
  <c r="AP99" i="6"/>
  <c r="AP21" i="6"/>
  <c r="AQ82" i="6"/>
  <c r="AP3" i="6"/>
  <c r="AQ4" i="6"/>
  <c r="AQ5" i="6"/>
  <c r="AP11" i="6"/>
  <c r="AQ12" i="6"/>
  <c r="AQ13" i="6"/>
  <c r="AP19" i="6"/>
  <c r="AQ20" i="6"/>
  <c r="AQ21" i="6"/>
  <c r="AP27" i="6"/>
  <c r="AQ28" i="6"/>
  <c r="AQ29" i="6"/>
  <c r="AP39" i="6"/>
  <c r="AP47" i="6"/>
  <c r="AQ53" i="6"/>
  <c r="AQ61" i="6"/>
  <c r="AQ69" i="6"/>
  <c r="AQ80" i="6"/>
  <c r="AQ86" i="6"/>
  <c r="AQ87" i="6"/>
  <c r="AP91" i="6"/>
  <c r="AQ103" i="6"/>
  <c r="AQ6" i="6"/>
  <c r="AQ14" i="6"/>
  <c r="AP29" i="6"/>
  <c r="AQ2" i="6"/>
  <c r="AQ3" i="6"/>
  <c r="AA7" i="6"/>
  <c r="AG7" i="6" s="1"/>
  <c r="AP9" i="6"/>
  <c r="AQ10" i="6"/>
  <c r="AC11" i="6"/>
  <c r="AD11" i="6" s="1"/>
  <c r="AQ11" i="6"/>
  <c r="AA15" i="6"/>
  <c r="AP17" i="6"/>
  <c r="AQ18" i="6"/>
  <c r="AQ19" i="6"/>
  <c r="AA23" i="6"/>
  <c r="AC23" i="6" s="1"/>
  <c r="AA24" i="6"/>
  <c r="AP25" i="6"/>
  <c r="AQ26" i="6"/>
  <c r="AQ27" i="6"/>
  <c r="AA31" i="6"/>
  <c r="AA35" i="6"/>
  <c r="AA37" i="6"/>
  <c r="AA43" i="6"/>
  <c r="AA45" i="6"/>
  <c r="AP52" i="6"/>
  <c r="AQ55" i="6"/>
  <c r="AQ63" i="6"/>
  <c r="AA65" i="6"/>
  <c r="AP68" i="6"/>
  <c r="AA76" i="6"/>
  <c r="AP79" i="6"/>
  <c r="AA93" i="6"/>
  <c r="AP5" i="6"/>
  <c r="AP13" i="6"/>
  <c r="AQ22" i="6"/>
  <c r="AP30" i="6"/>
  <c r="AP34" i="6"/>
  <c r="AP40" i="6"/>
  <c r="AP87" i="6"/>
  <c r="AQ92" i="6"/>
  <c r="AP103" i="6"/>
  <c r="AA5" i="6"/>
  <c r="AG5" i="6" s="1"/>
  <c r="AA6" i="6"/>
  <c r="AP7" i="6"/>
  <c r="AQ8" i="6"/>
  <c r="AQ9" i="6"/>
  <c r="AA13" i="6"/>
  <c r="AG13" i="6" s="1"/>
  <c r="AA14" i="6"/>
  <c r="AG15" i="6"/>
  <c r="AI15" i="6" s="1"/>
  <c r="AP15" i="6"/>
  <c r="AQ16" i="6"/>
  <c r="AQ17" i="6"/>
  <c r="AA21" i="6"/>
  <c r="AC21" i="6" s="1"/>
  <c r="AE21" i="6" s="1"/>
  <c r="AA22" i="6"/>
  <c r="AP23" i="6"/>
  <c r="AQ24" i="6"/>
  <c r="AQ25" i="6"/>
  <c r="AA29" i="6"/>
  <c r="AC29" i="6" s="1"/>
  <c r="AP31" i="6"/>
  <c r="AP35" i="6"/>
  <c r="AP37" i="6"/>
  <c r="AP43" i="6"/>
  <c r="AP45" i="6"/>
  <c r="AP50" i="6"/>
  <c r="AP54" i="6"/>
  <c r="AQ57" i="6"/>
  <c r="AA59" i="6"/>
  <c r="AP62" i="6"/>
  <c r="AQ65" i="6"/>
  <c r="AA67" i="6"/>
  <c r="AP70" i="6"/>
  <c r="AQ76" i="6"/>
  <c r="AA78" i="6"/>
  <c r="AA82" i="6"/>
  <c r="AA87" i="6"/>
  <c r="AC87" i="6" s="1"/>
  <c r="AA92" i="6"/>
  <c r="AA101" i="6"/>
  <c r="AA103" i="6"/>
  <c r="AC103" i="6" s="1"/>
  <c r="AG23" i="6"/>
  <c r="AI23" i="6" s="1"/>
  <c r="AC25" i="6"/>
  <c r="AD25" i="6" s="1"/>
  <c r="AG91" i="6"/>
  <c r="AH91" i="6" s="1"/>
  <c r="AC95" i="6"/>
  <c r="AE95" i="6" s="1"/>
  <c r="AC15" i="6"/>
  <c r="AE15" i="6" s="1"/>
  <c r="AC3" i="6"/>
  <c r="AE3" i="6" s="1"/>
  <c r="AP41" i="6"/>
  <c r="AA41" i="6"/>
  <c r="AQ44" i="6"/>
  <c r="AA44" i="6"/>
  <c r="AP44" i="6"/>
  <c r="AB44" i="6"/>
  <c r="AG3" i="6"/>
  <c r="AG11" i="6"/>
  <c r="AP33" i="6"/>
  <c r="AA33" i="6"/>
  <c r="AG33" i="6" s="1"/>
  <c r="AQ36" i="6"/>
  <c r="AA36" i="6"/>
  <c r="AP36" i="6"/>
  <c r="AB36" i="6"/>
  <c r="AC5" i="6"/>
  <c r="AG21" i="6"/>
  <c r="AQ41" i="6"/>
  <c r="AB41" i="6"/>
  <c r="AB51" i="6"/>
  <c r="AQ51" i="6"/>
  <c r="AB2" i="6"/>
  <c r="AB4" i="6"/>
  <c r="AG4" i="6" s="1"/>
  <c r="AB6" i="6"/>
  <c r="AB8" i="6"/>
  <c r="AB10" i="6"/>
  <c r="AB12" i="6"/>
  <c r="AB14" i="6"/>
  <c r="AB16" i="6"/>
  <c r="AG16" i="6" s="1"/>
  <c r="AB18" i="6"/>
  <c r="AG18" i="6" s="1"/>
  <c r="AB20" i="6"/>
  <c r="AG20" i="6" s="1"/>
  <c r="AB22" i="6"/>
  <c r="AG22" i="6" s="1"/>
  <c r="AB24" i="6"/>
  <c r="AB26" i="6"/>
  <c r="AB28" i="6"/>
  <c r="AG28" i="6" s="1"/>
  <c r="AQ30" i="6"/>
  <c r="AA30" i="6"/>
  <c r="AB35" i="6"/>
  <c r="AQ38" i="6"/>
  <c r="AA38" i="6"/>
  <c r="AB43" i="6"/>
  <c r="AG43" i="6" s="1"/>
  <c r="AQ46" i="6"/>
  <c r="AA46" i="6"/>
  <c r="AP72" i="6"/>
  <c r="AA72" i="6"/>
  <c r="AC72" i="6" s="1"/>
  <c r="AQ72" i="6"/>
  <c r="AP90" i="6"/>
  <c r="AQ90" i="6"/>
  <c r="AA90" i="6"/>
  <c r="AB90" i="6"/>
  <c r="AC90" i="6" s="1"/>
  <c r="AQ32" i="6"/>
  <c r="AA32" i="6"/>
  <c r="AB37" i="6"/>
  <c r="AC37" i="6" s="1"/>
  <c r="AQ40" i="6"/>
  <c r="AA40" i="6"/>
  <c r="AC40" i="6" s="1"/>
  <c r="AB45" i="6"/>
  <c r="AQ48" i="6"/>
  <c r="AA48" i="6"/>
  <c r="AG48" i="6" s="1"/>
  <c r="AB49" i="6"/>
  <c r="AQ49" i="6"/>
  <c r="AP74" i="6"/>
  <c r="AQ74" i="6"/>
  <c r="AA74" i="6"/>
  <c r="AB31" i="6"/>
  <c r="AQ34" i="6"/>
  <c r="AA34" i="6"/>
  <c r="AC34" i="6" s="1"/>
  <c r="AB39" i="6"/>
  <c r="AG39" i="6" s="1"/>
  <c r="AQ42" i="6"/>
  <c r="AA42" i="6"/>
  <c r="AC42" i="6" s="1"/>
  <c r="AB47" i="6"/>
  <c r="AG47" i="6" s="1"/>
  <c r="AA49" i="6"/>
  <c r="AA51" i="6"/>
  <c r="AB74" i="6"/>
  <c r="AB53" i="6"/>
  <c r="AB55" i="6"/>
  <c r="AG55" i="6" s="1"/>
  <c r="AB57" i="6"/>
  <c r="AG57" i="6" s="1"/>
  <c r="AB59" i="6"/>
  <c r="AB61" i="6"/>
  <c r="AC61" i="6" s="1"/>
  <c r="AB63" i="6"/>
  <c r="AG63" i="6" s="1"/>
  <c r="AB65" i="6"/>
  <c r="AB67" i="6"/>
  <c r="AC67" i="6" s="1"/>
  <c r="AB69" i="6"/>
  <c r="AB71" i="6"/>
  <c r="AP71" i="6"/>
  <c r="AC33" i="6"/>
  <c r="AA50" i="6"/>
  <c r="AC50" i="6" s="1"/>
  <c r="AQ50" i="6"/>
  <c r="AA52" i="6"/>
  <c r="AQ52" i="6"/>
  <c r="AA54" i="6"/>
  <c r="AC54" i="6" s="1"/>
  <c r="AQ54" i="6"/>
  <c r="AA56" i="6"/>
  <c r="AG56" i="6" s="1"/>
  <c r="AQ56" i="6"/>
  <c r="AA58" i="6"/>
  <c r="AG58" i="6" s="1"/>
  <c r="AQ58" i="6"/>
  <c r="AA60" i="6"/>
  <c r="AQ60" i="6"/>
  <c r="AA62" i="6"/>
  <c r="AC62" i="6" s="1"/>
  <c r="AQ62" i="6"/>
  <c r="AA64" i="6"/>
  <c r="AC64" i="6" s="1"/>
  <c r="AQ64" i="6"/>
  <c r="AA66" i="6"/>
  <c r="AQ66" i="6"/>
  <c r="AA68" i="6"/>
  <c r="AQ68" i="6"/>
  <c r="AA70" i="6"/>
  <c r="AQ70" i="6"/>
  <c r="AB76" i="6"/>
  <c r="AG76" i="6" s="1"/>
  <c r="AP84" i="6"/>
  <c r="AQ84" i="6"/>
  <c r="AA84" i="6"/>
  <c r="AC84" i="6" s="1"/>
  <c r="AG87" i="6"/>
  <c r="AB78" i="6"/>
  <c r="AB80" i="6"/>
  <c r="AG80" i="6" s="1"/>
  <c r="AB86" i="6"/>
  <c r="AB92" i="6"/>
  <c r="AA96" i="6"/>
  <c r="AQ96" i="6"/>
  <c r="AP102" i="6"/>
  <c r="AQ102" i="6"/>
  <c r="AA102" i="6"/>
  <c r="AP106" i="6"/>
  <c r="AQ106" i="6"/>
  <c r="AA106" i="6"/>
  <c r="AG106" i="6" s="1"/>
  <c r="AF105" i="6"/>
  <c r="AB105" i="6"/>
  <c r="AQ105" i="6"/>
  <c r="AF101" i="6"/>
  <c r="AB101" i="6"/>
  <c r="AQ101" i="6"/>
  <c r="AF97" i="6"/>
  <c r="AB97" i="6"/>
  <c r="AC97" i="6" s="1"/>
  <c r="AQ97" i="6"/>
  <c r="AF93" i="6"/>
  <c r="AB93" i="6"/>
  <c r="AC93" i="6" s="1"/>
  <c r="AQ93" i="6"/>
  <c r="AF89" i="6"/>
  <c r="AB89" i="6"/>
  <c r="AC89" i="6" s="1"/>
  <c r="AF85" i="6"/>
  <c r="AB85" i="6"/>
  <c r="AC85" i="6" s="1"/>
  <c r="AF81" i="6"/>
  <c r="AB81" i="6"/>
  <c r="AA73" i="6"/>
  <c r="AC73" i="6" s="1"/>
  <c r="AQ73" i="6"/>
  <c r="AA75" i="6"/>
  <c r="AG75" i="6" s="1"/>
  <c r="AQ75" i="6"/>
  <c r="AA77" i="6"/>
  <c r="AG77" i="6" s="1"/>
  <c r="AQ77" i="6"/>
  <c r="AA79" i="6"/>
  <c r="AC79" i="6" s="1"/>
  <c r="AQ79" i="6"/>
  <c r="AA81" i="6"/>
  <c r="AP81" i="6"/>
  <c r="AB82" i="6"/>
  <c r="AC82" i="6" s="1"/>
  <c r="AA88" i="6"/>
  <c r="AQ88" i="6"/>
  <c r="AC91" i="6"/>
  <c r="AA94" i="6"/>
  <c r="AQ94" i="6"/>
  <c r="AB96" i="6"/>
  <c r="AG96" i="6" s="1"/>
  <c r="AA98" i="6"/>
  <c r="AQ98" i="6"/>
  <c r="AP100" i="6"/>
  <c r="AQ100" i="6"/>
  <c r="AA100" i="6"/>
  <c r="AG100" i="6" s="1"/>
  <c r="AP104" i="6"/>
  <c r="AQ104" i="6"/>
  <c r="AA104" i="6"/>
  <c r="AG104" i="6" s="1"/>
  <c r="Z105" i="6"/>
  <c r="AP105" i="6"/>
  <c r="AB88" i="6"/>
  <c r="AB94" i="6"/>
  <c r="AB98" i="6"/>
  <c r="AQ91" i="6"/>
  <c r="AQ95" i="6"/>
  <c r="AA99" i="6"/>
  <c r="AG99" i="6" s="1"/>
  <c r="AQ99" i="6"/>
  <c r="AA14" i="5"/>
  <c r="AQ23" i="5"/>
  <c r="AA24" i="5"/>
  <c r="AA26" i="5"/>
  <c r="AP34" i="5"/>
  <c r="AQ46" i="5"/>
  <c r="AA75" i="5"/>
  <c r="AP100" i="5"/>
  <c r="AP32" i="5"/>
  <c r="AP79" i="5"/>
  <c r="AP80" i="5"/>
  <c r="AA106" i="5"/>
  <c r="AP4" i="5"/>
  <c r="AQ6" i="5"/>
  <c r="AA7" i="5"/>
  <c r="AP28" i="5"/>
  <c r="AA32" i="5"/>
  <c r="AP51" i="5"/>
  <c r="AP59" i="5"/>
  <c r="AP67" i="5"/>
  <c r="AB68" i="5"/>
  <c r="AQ78" i="5"/>
  <c r="AA79" i="5"/>
  <c r="AQ79" i="5"/>
  <c r="AA80" i="5"/>
  <c r="AP84" i="5"/>
  <c r="AA4" i="5"/>
  <c r="AP8" i="5"/>
  <c r="AP16" i="5"/>
  <c r="AB17" i="5"/>
  <c r="AQ19" i="5"/>
  <c r="AA20" i="5"/>
  <c r="AP22" i="5"/>
  <c r="AQ27" i="5"/>
  <c r="AA28" i="5"/>
  <c r="AA30" i="5"/>
  <c r="AA34" i="5"/>
  <c r="AQ43" i="5"/>
  <c r="AA44" i="5"/>
  <c r="AQ50" i="5"/>
  <c r="AA51" i="5"/>
  <c r="AA53" i="5"/>
  <c r="AQ58" i="5"/>
  <c r="AA59" i="5"/>
  <c r="AA61" i="5"/>
  <c r="AP63" i="5"/>
  <c r="AA67" i="5"/>
  <c r="AA78" i="5"/>
  <c r="AQ83" i="5"/>
  <c r="AA84" i="5"/>
  <c r="AP86" i="5"/>
  <c r="AQ91" i="5"/>
  <c r="AA92" i="5"/>
  <c r="AP94" i="5"/>
  <c r="AQ99" i="5"/>
  <c r="AA100" i="5"/>
  <c r="AP102" i="5"/>
  <c r="AA8" i="5"/>
  <c r="AQ10" i="5"/>
  <c r="AA11" i="5"/>
  <c r="AA16" i="5"/>
  <c r="AP18" i="5"/>
  <c r="AA22" i="5"/>
  <c r="AP36" i="5"/>
  <c r="AP38" i="5"/>
  <c r="AP40" i="5"/>
  <c r="AP42" i="5"/>
  <c r="AP47" i="5"/>
  <c r="AP49" i="5"/>
  <c r="AP55" i="5"/>
  <c r="AP57" i="5"/>
  <c r="AA63" i="5"/>
  <c r="AP69" i="5"/>
  <c r="AP71" i="5"/>
  <c r="AQ85" i="5"/>
  <c r="AA86" i="5"/>
  <c r="AP88" i="5"/>
  <c r="AP90" i="5"/>
  <c r="AQ93" i="5"/>
  <c r="AA94" i="5"/>
  <c r="AP96" i="5"/>
  <c r="AP98" i="5"/>
  <c r="AQ101" i="5"/>
  <c r="AA102" i="5"/>
  <c r="AA3" i="5"/>
  <c r="AG3" i="5" s="1"/>
  <c r="AA10" i="5"/>
  <c r="AA18" i="5"/>
  <c r="AA36" i="5"/>
  <c r="AA38" i="5"/>
  <c r="AA40" i="5"/>
  <c r="AA42" i="5"/>
  <c r="AA47" i="5"/>
  <c r="AA49" i="5"/>
  <c r="AA55" i="5"/>
  <c r="AA57" i="5"/>
  <c r="AA69" i="5"/>
  <c r="AA71" i="5"/>
  <c r="AP73" i="5"/>
  <c r="AP75" i="5"/>
  <c r="AA88" i="5"/>
  <c r="AA90" i="5"/>
  <c r="AA96" i="5"/>
  <c r="AA98" i="5"/>
  <c r="AB39" i="5"/>
  <c r="AP43" i="5"/>
  <c r="AA43" i="5"/>
  <c r="AG43" i="5" s="1"/>
  <c r="AQ76" i="5"/>
  <c r="AP76" i="5"/>
  <c r="AA76" i="5"/>
  <c r="AB76" i="5"/>
  <c r="AC76" i="5" s="1"/>
  <c r="AP48" i="5"/>
  <c r="AA48" i="5"/>
  <c r="AB48" i="5"/>
  <c r="AC48" i="5" s="1"/>
  <c r="AQ48" i="5"/>
  <c r="AP3" i="5"/>
  <c r="AB7" i="5"/>
  <c r="AG7" i="5" s="1"/>
  <c r="AP7" i="5"/>
  <c r="AB11" i="5"/>
  <c r="AG11" i="5" s="1"/>
  <c r="AA2" i="5"/>
  <c r="AQ3" i="5"/>
  <c r="AP5" i="5"/>
  <c r="AA5" i="5"/>
  <c r="AQ5" i="5"/>
  <c r="AA6" i="5"/>
  <c r="AP9" i="5"/>
  <c r="AA9" i="5"/>
  <c r="AG9" i="5" s="1"/>
  <c r="AQ9" i="5"/>
  <c r="AQ11" i="5"/>
  <c r="AP13" i="5"/>
  <c r="AA13" i="5"/>
  <c r="AC13" i="5" s="1"/>
  <c r="AQ13" i="5"/>
  <c r="AQ15" i="5"/>
  <c r="AP27" i="5"/>
  <c r="AA27" i="5"/>
  <c r="AG27" i="5" s="1"/>
  <c r="AP39" i="5"/>
  <c r="AA39" i="5"/>
  <c r="AC39" i="5" s="1"/>
  <c r="AP31" i="5"/>
  <c r="AA31" i="5"/>
  <c r="AB15" i="5"/>
  <c r="AG15" i="5" s="1"/>
  <c r="AP17" i="5"/>
  <c r="AA17" i="5"/>
  <c r="AP21" i="5"/>
  <c r="AA21" i="5"/>
  <c r="AC21" i="5" s="1"/>
  <c r="AB2" i="5"/>
  <c r="AB6" i="5"/>
  <c r="AC6" i="5" s="1"/>
  <c r="AB10" i="5"/>
  <c r="AB14" i="5"/>
  <c r="AG14" i="5" s="1"/>
  <c r="AP19" i="5"/>
  <c r="AA19" i="5"/>
  <c r="AG19" i="5" s="1"/>
  <c r="AP23" i="5"/>
  <c r="AA23" i="5"/>
  <c r="AC23" i="5" s="1"/>
  <c r="AB31" i="5"/>
  <c r="AC31" i="5" s="1"/>
  <c r="AQ31" i="5"/>
  <c r="AP35" i="5"/>
  <c r="AA35" i="5"/>
  <c r="AG35" i="5" s="1"/>
  <c r="AP56" i="5"/>
  <c r="AA56" i="5"/>
  <c r="AB56" i="5"/>
  <c r="AG56" i="5" s="1"/>
  <c r="AQ56" i="5"/>
  <c r="AC3" i="5"/>
  <c r="AB4" i="5"/>
  <c r="AC4" i="5" s="1"/>
  <c r="AB8" i="5"/>
  <c r="AB12" i="5"/>
  <c r="AC12" i="5" s="1"/>
  <c r="AB16" i="5"/>
  <c r="AG16" i="5" s="1"/>
  <c r="AB20" i="5"/>
  <c r="AC20" i="5" s="1"/>
  <c r="AB24" i="5"/>
  <c r="AG24" i="5" s="1"/>
  <c r="AA25" i="5"/>
  <c r="AP25" i="5"/>
  <c r="AC27" i="5"/>
  <c r="AB28" i="5"/>
  <c r="AG28" i="5" s="1"/>
  <c r="AA29" i="5"/>
  <c r="AP29" i="5"/>
  <c r="AB32" i="5"/>
  <c r="AG32" i="5" s="1"/>
  <c r="AA33" i="5"/>
  <c r="AP33" i="5"/>
  <c r="AC35" i="5"/>
  <c r="AB36" i="5"/>
  <c r="AG36" i="5" s="1"/>
  <c r="AA37" i="5"/>
  <c r="AP37" i="5"/>
  <c r="AB40" i="5"/>
  <c r="AA41" i="5"/>
  <c r="AP41" i="5"/>
  <c r="AB44" i="5"/>
  <c r="AG44" i="5" s="1"/>
  <c r="AA45" i="5"/>
  <c r="AP45" i="5"/>
  <c r="AP50" i="5"/>
  <c r="AA50" i="5"/>
  <c r="AP58" i="5"/>
  <c r="AA58" i="5"/>
  <c r="AB25" i="5"/>
  <c r="AC25" i="5" s="1"/>
  <c r="AB29" i="5"/>
  <c r="AC29" i="5" s="1"/>
  <c r="AB33" i="5"/>
  <c r="AC33" i="5" s="1"/>
  <c r="AB37" i="5"/>
  <c r="AC37" i="5" s="1"/>
  <c r="AB41" i="5"/>
  <c r="AB45" i="5"/>
  <c r="AC45" i="5" s="1"/>
  <c r="AP46" i="5"/>
  <c r="AA46" i="5"/>
  <c r="AC46" i="5" s="1"/>
  <c r="AG50" i="5"/>
  <c r="AP52" i="5"/>
  <c r="AA52" i="5"/>
  <c r="AG58" i="5"/>
  <c r="AP60" i="5"/>
  <c r="AA60" i="5"/>
  <c r="AG60" i="5" s="1"/>
  <c r="AB18" i="5"/>
  <c r="AC18" i="5" s="1"/>
  <c r="AB22" i="5"/>
  <c r="AG22" i="5" s="1"/>
  <c r="AB26" i="5"/>
  <c r="AB30" i="5"/>
  <c r="AB34" i="5"/>
  <c r="AG34" i="5" s="1"/>
  <c r="AB38" i="5"/>
  <c r="AB42" i="5"/>
  <c r="AG42" i="5" s="1"/>
  <c r="AG52" i="5"/>
  <c r="AQ52" i="5"/>
  <c r="AP54" i="5"/>
  <c r="AA54" i="5"/>
  <c r="AG54" i="5" s="1"/>
  <c r="AQ60" i="5"/>
  <c r="AP62" i="5"/>
  <c r="AA62" i="5"/>
  <c r="AG62" i="5" s="1"/>
  <c r="AB47" i="5"/>
  <c r="AC47" i="5" s="1"/>
  <c r="AC50" i="5"/>
  <c r="AB51" i="5"/>
  <c r="AG51" i="5" s="1"/>
  <c r="AB55" i="5"/>
  <c r="AC58" i="5"/>
  <c r="AB59" i="5"/>
  <c r="AG59" i="5" s="1"/>
  <c r="AC62" i="5"/>
  <c r="AB63" i="5"/>
  <c r="AG63" i="5" s="1"/>
  <c r="AA64" i="5"/>
  <c r="AP64" i="5"/>
  <c r="AP65" i="5"/>
  <c r="AC63" i="5"/>
  <c r="AB64" i="5"/>
  <c r="AP66" i="5"/>
  <c r="AA66" i="5"/>
  <c r="AP77" i="5"/>
  <c r="AA77" i="5"/>
  <c r="AB77" i="5"/>
  <c r="AP89" i="5"/>
  <c r="AA89" i="5"/>
  <c r="AB89" i="5"/>
  <c r="AQ89" i="5"/>
  <c r="AB49" i="5"/>
  <c r="AC49" i="5" s="1"/>
  <c r="AC52" i="5"/>
  <c r="AB53" i="5"/>
  <c r="AB57" i="5"/>
  <c r="AC57" i="5" s="1"/>
  <c r="AC60" i="5"/>
  <c r="AB61" i="5"/>
  <c r="AC61" i="5" s="1"/>
  <c r="AB65" i="5"/>
  <c r="AC65" i="5" s="1"/>
  <c r="AG66" i="5"/>
  <c r="AQ66" i="5"/>
  <c r="AP68" i="5"/>
  <c r="AA68" i="5"/>
  <c r="AP72" i="5"/>
  <c r="AA72" i="5"/>
  <c r="AG72" i="5" s="1"/>
  <c r="AG79" i="5"/>
  <c r="AP97" i="5"/>
  <c r="AA97" i="5"/>
  <c r="AB97" i="5"/>
  <c r="AQ97" i="5"/>
  <c r="AB69" i="5"/>
  <c r="AG69" i="5" s="1"/>
  <c r="AA70" i="5"/>
  <c r="AP70" i="5"/>
  <c r="AC72" i="5"/>
  <c r="AB73" i="5"/>
  <c r="AG73" i="5" s="1"/>
  <c r="AA74" i="5"/>
  <c r="AP74" i="5"/>
  <c r="AB78" i="5"/>
  <c r="AC78" i="5" s="1"/>
  <c r="AP81" i="5"/>
  <c r="AA81" i="5"/>
  <c r="AG81" i="5" s="1"/>
  <c r="AQ81" i="5"/>
  <c r="AA82" i="5"/>
  <c r="AP87" i="5"/>
  <c r="AA87" i="5"/>
  <c r="AG87" i="5" s="1"/>
  <c r="AP95" i="5"/>
  <c r="AA95" i="5"/>
  <c r="AG95" i="5" s="1"/>
  <c r="AQ103" i="5"/>
  <c r="AP103" i="5"/>
  <c r="AA103" i="5"/>
  <c r="AB105" i="5"/>
  <c r="AG105" i="5" s="1"/>
  <c r="AC69" i="5"/>
  <c r="AB70" i="5"/>
  <c r="AB74" i="5"/>
  <c r="AC74" i="5" s="1"/>
  <c r="AB82" i="5"/>
  <c r="AP82" i="5"/>
  <c r="AP85" i="5"/>
  <c r="AA85" i="5"/>
  <c r="AG85" i="5" s="1"/>
  <c r="AP93" i="5"/>
  <c r="AA93" i="5"/>
  <c r="AC93" i="5" s="1"/>
  <c r="AP101" i="5"/>
  <c r="AA101" i="5"/>
  <c r="AG101" i="5" s="1"/>
  <c r="AP105" i="5"/>
  <c r="AA105" i="5"/>
  <c r="AC66" i="5"/>
  <c r="AB67" i="5"/>
  <c r="AC67" i="5" s="1"/>
  <c r="AC70" i="5"/>
  <c r="AB71" i="5"/>
  <c r="AB75" i="5"/>
  <c r="AG75" i="5" s="1"/>
  <c r="AP83" i="5"/>
  <c r="AA83" i="5"/>
  <c r="AG83" i="5" s="1"/>
  <c r="AQ87" i="5"/>
  <c r="AP91" i="5"/>
  <c r="AA91" i="5"/>
  <c r="AG91" i="5" s="1"/>
  <c r="AG93" i="5"/>
  <c r="AQ95" i="5"/>
  <c r="AP99" i="5"/>
  <c r="AA99" i="5"/>
  <c r="AG99" i="5" s="1"/>
  <c r="AB103" i="5"/>
  <c r="AC85" i="5"/>
  <c r="AB86" i="5"/>
  <c r="AG86" i="5" s="1"/>
  <c r="AB90" i="5"/>
  <c r="AG90" i="5" s="1"/>
  <c r="AB94" i="5"/>
  <c r="AG94" i="5" s="1"/>
  <c r="AC97" i="5"/>
  <c r="AB98" i="5"/>
  <c r="AC98" i="5" s="1"/>
  <c r="AB102" i="5"/>
  <c r="AG102" i="5" s="1"/>
  <c r="AB106" i="5"/>
  <c r="AG106" i="5" s="1"/>
  <c r="AA104" i="5"/>
  <c r="AP104" i="5"/>
  <c r="AC79" i="5"/>
  <c r="AB80" i="5"/>
  <c r="AG80" i="5" s="1"/>
  <c r="AC83" i="5"/>
  <c r="AB84" i="5"/>
  <c r="AC87" i="5"/>
  <c r="AB88" i="5"/>
  <c r="AC88" i="5" s="1"/>
  <c r="AB92" i="5"/>
  <c r="AC92" i="5" s="1"/>
  <c r="AB96" i="5"/>
  <c r="AB100" i="5"/>
  <c r="AC100" i="5" s="1"/>
  <c r="AC103" i="5"/>
  <c r="AB104" i="5"/>
  <c r="AB105" i="1"/>
  <c r="AN105" i="1"/>
  <c r="AM105" i="1"/>
  <c r="AB97" i="1"/>
  <c r="AN97" i="1"/>
  <c r="AM97" i="1"/>
  <c r="AB89" i="1"/>
  <c r="AN89" i="1"/>
  <c r="AM89" i="1"/>
  <c r="AB81" i="1"/>
  <c r="AN81" i="1"/>
  <c r="AM81" i="1"/>
  <c r="AB73" i="1"/>
  <c r="AN73" i="1"/>
  <c r="AM73" i="1"/>
  <c r="AB65" i="1"/>
  <c r="AN65" i="1"/>
  <c r="AM65" i="1"/>
  <c r="AB57" i="1"/>
  <c r="AN57" i="1"/>
  <c r="AM57" i="1"/>
  <c r="AA49" i="1"/>
  <c r="AN49" i="1"/>
  <c r="AM49" i="1"/>
  <c r="AA41" i="1"/>
  <c r="AN41" i="1"/>
  <c r="AM41" i="1"/>
  <c r="AA33" i="1"/>
  <c r="AN33" i="1"/>
  <c r="AM33" i="1"/>
  <c r="AA25" i="1"/>
  <c r="AN25" i="1"/>
  <c r="AM25" i="1"/>
  <c r="AA17" i="1"/>
  <c r="AN17" i="1"/>
  <c r="AM17" i="1"/>
  <c r="AA9" i="1"/>
  <c r="AN9" i="1"/>
  <c r="AM9" i="1"/>
  <c r="AM104" i="1"/>
  <c r="AM96" i="1"/>
  <c r="AM88" i="1"/>
  <c r="AM80" i="1"/>
  <c r="AM72" i="1"/>
  <c r="AM64" i="1"/>
  <c r="AM56" i="1"/>
  <c r="AM48" i="1"/>
  <c r="AM40" i="1"/>
  <c r="AM32" i="1"/>
  <c r="AM24" i="1"/>
  <c r="AM16" i="1"/>
  <c r="AM8" i="1"/>
  <c r="AN104" i="1"/>
  <c r="AN96" i="1"/>
  <c r="AN88" i="1"/>
  <c r="AN80" i="1"/>
  <c r="AN72" i="1"/>
  <c r="AN64" i="1"/>
  <c r="AN56" i="1"/>
  <c r="AN48" i="1"/>
  <c r="AN40" i="1"/>
  <c r="AN32" i="1"/>
  <c r="AN24" i="1"/>
  <c r="AN16" i="1"/>
  <c r="AN8" i="1"/>
  <c r="AA75" i="1"/>
  <c r="AM103" i="1"/>
  <c r="AM95" i="1"/>
  <c r="AM87" i="1"/>
  <c r="AM79" i="1"/>
  <c r="AM71" i="1"/>
  <c r="AM63" i="1"/>
  <c r="AM55" i="1"/>
  <c r="AM47" i="1"/>
  <c r="AM39" i="1"/>
  <c r="AM31" i="1"/>
  <c r="AM23" i="1"/>
  <c r="AM15" i="1"/>
  <c r="AM7" i="1"/>
  <c r="AN103" i="1"/>
  <c r="AN95" i="1"/>
  <c r="AN87" i="1"/>
  <c r="AN79" i="1"/>
  <c r="AN71" i="1"/>
  <c r="AN63" i="1"/>
  <c r="AN55" i="1"/>
  <c r="AN47" i="1"/>
  <c r="AN39" i="1"/>
  <c r="AN31" i="1"/>
  <c r="AN23" i="1"/>
  <c r="AN15" i="1"/>
  <c r="AN7" i="1"/>
  <c r="AM102" i="1"/>
  <c r="AM94" i="1"/>
  <c r="AM86" i="1"/>
  <c r="AM78" i="1"/>
  <c r="AM70" i="1"/>
  <c r="AM62" i="1"/>
  <c r="AM54" i="1"/>
  <c r="AM46" i="1"/>
  <c r="AM38" i="1"/>
  <c r="AM30" i="1"/>
  <c r="AM22" i="1"/>
  <c r="AM14" i="1"/>
  <c r="AM6" i="1"/>
  <c r="AN102" i="1"/>
  <c r="AN94" i="1"/>
  <c r="AN86" i="1"/>
  <c r="AN78" i="1"/>
  <c r="AN70" i="1"/>
  <c r="AN62" i="1"/>
  <c r="AN54" i="1"/>
  <c r="AN46" i="1"/>
  <c r="AN38" i="1"/>
  <c r="AN30" i="1"/>
  <c r="AN22" i="1"/>
  <c r="AN14" i="1"/>
  <c r="AN6" i="1"/>
  <c r="AM101" i="1"/>
  <c r="AM93" i="1"/>
  <c r="AM85" i="1"/>
  <c r="AM77" i="1"/>
  <c r="AM69" i="1"/>
  <c r="AM61" i="1"/>
  <c r="AM53" i="1"/>
  <c r="AM45" i="1"/>
  <c r="AM37" i="1"/>
  <c r="AM29" i="1"/>
  <c r="AM21" i="1"/>
  <c r="AM13" i="1"/>
  <c r="AM5" i="1"/>
  <c r="AN101" i="1"/>
  <c r="AN93" i="1"/>
  <c r="AN85" i="1"/>
  <c r="AN77" i="1"/>
  <c r="AN69" i="1"/>
  <c r="AN61" i="1"/>
  <c r="AN53" i="1"/>
  <c r="AN45" i="1"/>
  <c r="AN37" i="1"/>
  <c r="AN29" i="1"/>
  <c r="AN21" i="1"/>
  <c r="AN13" i="1"/>
  <c r="AN5" i="1"/>
  <c r="AM100" i="1"/>
  <c r="AM92" i="1"/>
  <c r="AM84" i="1"/>
  <c r="AM76" i="1"/>
  <c r="AM68" i="1"/>
  <c r="AM60" i="1"/>
  <c r="AM52" i="1"/>
  <c r="AM44" i="1"/>
  <c r="AM36" i="1"/>
  <c r="AM28" i="1"/>
  <c r="AM20" i="1"/>
  <c r="AM12" i="1"/>
  <c r="AM4" i="1"/>
  <c r="AN2" i="1"/>
  <c r="AA105" i="1"/>
  <c r="AG105" i="1" s="1"/>
  <c r="AM99" i="1"/>
  <c r="AM91" i="1"/>
  <c r="AM83" i="1"/>
  <c r="AM75" i="1"/>
  <c r="AM67" i="1"/>
  <c r="AM59" i="1"/>
  <c r="AM51" i="1"/>
  <c r="AM43" i="1"/>
  <c r="AM35" i="1"/>
  <c r="AM27" i="1"/>
  <c r="AM19" i="1"/>
  <c r="AM11" i="1"/>
  <c r="AM3" i="1"/>
  <c r="AN99" i="1"/>
  <c r="AN91" i="1"/>
  <c r="AN83" i="1"/>
  <c r="AN75" i="1"/>
  <c r="AN67" i="1"/>
  <c r="AN59" i="1"/>
  <c r="AN51" i="1"/>
  <c r="AN43" i="1"/>
  <c r="AN35" i="1"/>
  <c r="AN27" i="1"/>
  <c r="AN19" i="1"/>
  <c r="AN11" i="1"/>
  <c r="AN3" i="1"/>
  <c r="AA81" i="1"/>
  <c r="AM106" i="1"/>
  <c r="AM98" i="1"/>
  <c r="AM90" i="1"/>
  <c r="AM82" i="1"/>
  <c r="AM74" i="1"/>
  <c r="AM66" i="1"/>
  <c r="AM58" i="1"/>
  <c r="AM50" i="1"/>
  <c r="AM42" i="1"/>
  <c r="AM34" i="1"/>
  <c r="AM26" i="1"/>
  <c r="AM18" i="1"/>
  <c r="AM10" i="1"/>
  <c r="AN106" i="1"/>
  <c r="AN98" i="1"/>
  <c r="AN90" i="1"/>
  <c r="AN82" i="1"/>
  <c r="AN74" i="1"/>
  <c r="AN66" i="1"/>
  <c r="AN58" i="1"/>
  <c r="AN50" i="1"/>
  <c r="AN42" i="1"/>
  <c r="AN34" i="1"/>
  <c r="AN26" i="1"/>
  <c r="AN18" i="1"/>
  <c r="AN10" i="1"/>
  <c r="AA85" i="1"/>
  <c r="AG85" i="1" s="1"/>
  <c r="AA78" i="1"/>
  <c r="AA69" i="1"/>
  <c r="AG69" i="1" s="1"/>
  <c r="AA62" i="1"/>
  <c r="AA43" i="1"/>
  <c r="AG43" i="1" s="1"/>
  <c r="AA38" i="1"/>
  <c r="AA11" i="1"/>
  <c r="AA6" i="1"/>
  <c r="AG6" i="1" s="1"/>
  <c r="AA98" i="1"/>
  <c r="AG98" i="1" s="1"/>
  <c r="AM2" i="1"/>
  <c r="AA102" i="1"/>
  <c r="AC102" i="1" s="1"/>
  <c r="AA91" i="1"/>
  <c r="AA89" i="1"/>
  <c r="AG89" i="1" s="1"/>
  <c r="AA73" i="1"/>
  <c r="AA57" i="1"/>
  <c r="AA35" i="1"/>
  <c r="AC35" i="1" s="1"/>
  <c r="AA30" i="1"/>
  <c r="AA59" i="1"/>
  <c r="AA106" i="1"/>
  <c r="AC106" i="1" s="1"/>
  <c r="AA86" i="1"/>
  <c r="AA77" i="1"/>
  <c r="AG77" i="1" s="1"/>
  <c r="AA70" i="1"/>
  <c r="AA61" i="1"/>
  <c r="AA54" i="1"/>
  <c r="AC30" i="1"/>
  <c r="AA27" i="1"/>
  <c r="AA22" i="1"/>
  <c r="AC22" i="1" s="1"/>
  <c r="AC91" i="1"/>
  <c r="AC75" i="1"/>
  <c r="AC59" i="1"/>
  <c r="AA99" i="1"/>
  <c r="AC99" i="1" s="1"/>
  <c r="AA97" i="1"/>
  <c r="AC97" i="1" s="1"/>
  <c r="AA93" i="1"/>
  <c r="AC93" i="1" s="1"/>
  <c r="AA101" i="1"/>
  <c r="AG101" i="1" s="1"/>
  <c r="AA90" i="1"/>
  <c r="AC86" i="1"/>
  <c r="AC70" i="1"/>
  <c r="AA65" i="1"/>
  <c r="AG65" i="1" s="1"/>
  <c r="AG61" i="1"/>
  <c r="AC54" i="1"/>
  <c r="AA51" i="1"/>
  <c r="AA46" i="1"/>
  <c r="AC46" i="1" s="1"/>
  <c r="AA19" i="1"/>
  <c r="AC19" i="1" s="1"/>
  <c r="AA14" i="1"/>
  <c r="AA94" i="1"/>
  <c r="AA83" i="1"/>
  <c r="AC83" i="1" s="1"/>
  <c r="AA67" i="1"/>
  <c r="AC67" i="1" s="1"/>
  <c r="AG81" i="1"/>
  <c r="AG75" i="1"/>
  <c r="AG59" i="1"/>
  <c r="AC81" i="1"/>
  <c r="AC27" i="1"/>
  <c r="AC101" i="1"/>
  <c r="AC90" i="1"/>
  <c r="AG90" i="1"/>
  <c r="AG78" i="1"/>
  <c r="AG62" i="1"/>
  <c r="AC51" i="1"/>
  <c r="AG38" i="1"/>
  <c r="AC14" i="1"/>
  <c r="AG91" i="1"/>
  <c r="AG73" i="1"/>
  <c r="AG57" i="1"/>
  <c r="AC78" i="1"/>
  <c r="AC73" i="1"/>
  <c r="AC62" i="1"/>
  <c r="AC57" i="1"/>
  <c r="AC43" i="1"/>
  <c r="AC38" i="1"/>
  <c r="AB100" i="1"/>
  <c r="AA100" i="1"/>
  <c r="AB92" i="1"/>
  <c r="AA92" i="1"/>
  <c r="AB84" i="1"/>
  <c r="AA84" i="1"/>
  <c r="AA76" i="1"/>
  <c r="AB76" i="1"/>
  <c r="AB68" i="1"/>
  <c r="AA68" i="1"/>
  <c r="AB60" i="1"/>
  <c r="AA60" i="1"/>
  <c r="AA52" i="1"/>
  <c r="AB52" i="1"/>
  <c r="AA44" i="1"/>
  <c r="AB44" i="1"/>
  <c r="AA36" i="1"/>
  <c r="AB36" i="1"/>
  <c r="AA28" i="1"/>
  <c r="AB28" i="1"/>
  <c r="AA20" i="1"/>
  <c r="AB20" i="1"/>
  <c r="AA12" i="1"/>
  <c r="AB12" i="1"/>
  <c r="AA4" i="1"/>
  <c r="AB4" i="1"/>
  <c r="AG86" i="1"/>
  <c r="AA2" i="1"/>
  <c r="AA104" i="1"/>
  <c r="AB103" i="1"/>
  <c r="AC103" i="1" s="1"/>
  <c r="AA96" i="1"/>
  <c r="AB95" i="1"/>
  <c r="AC95" i="1" s="1"/>
  <c r="AA88" i="1"/>
  <c r="AB87" i="1"/>
  <c r="AC87" i="1" s="1"/>
  <c r="AA80" i="1"/>
  <c r="AB79" i="1"/>
  <c r="AG79" i="1" s="1"/>
  <c r="AA72" i="1"/>
  <c r="AB71" i="1"/>
  <c r="AC71" i="1" s="1"/>
  <c r="AA64" i="1"/>
  <c r="AB63" i="1"/>
  <c r="AC63" i="1" s="1"/>
  <c r="AA56" i="1"/>
  <c r="AB55" i="1"/>
  <c r="AG55" i="1" s="1"/>
  <c r="AG51" i="1"/>
  <c r="AA48" i="1"/>
  <c r="AB47" i="1"/>
  <c r="AG47" i="1" s="1"/>
  <c r="AA40" i="1"/>
  <c r="AG40" i="1" s="1"/>
  <c r="AB39" i="1"/>
  <c r="AG39" i="1" s="1"/>
  <c r="AA32" i="1"/>
  <c r="AB31" i="1"/>
  <c r="AC31" i="1" s="1"/>
  <c r="AG27" i="1"/>
  <c r="AA24" i="1"/>
  <c r="AB23" i="1"/>
  <c r="AG23" i="1" s="1"/>
  <c r="AG19" i="1"/>
  <c r="AA16" i="1"/>
  <c r="AB15" i="1"/>
  <c r="AG15" i="1" s="1"/>
  <c r="AG11" i="1"/>
  <c r="AA8" i="1"/>
  <c r="AB7" i="1"/>
  <c r="AC7" i="1" s="1"/>
  <c r="AC61" i="1"/>
  <c r="AB53" i="1"/>
  <c r="AG53" i="1" s="1"/>
  <c r="AB45" i="1"/>
  <c r="AG45" i="1" s="1"/>
  <c r="AB37" i="1"/>
  <c r="AG37" i="1" s="1"/>
  <c r="AB29" i="1"/>
  <c r="AG29" i="1" s="1"/>
  <c r="AB21" i="1"/>
  <c r="AC21" i="1" s="1"/>
  <c r="AB13" i="1"/>
  <c r="AG13" i="1" s="1"/>
  <c r="AB5" i="1"/>
  <c r="AC5" i="1" s="1"/>
  <c r="AG32" i="1"/>
  <c r="AG8" i="1"/>
  <c r="AG87" i="1"/>
  <c r="AB3" i="1"/>
  <c r="AG3" i="1" s="1"/>
  <c r="AB82" i="1"/>
  <c r="AC82" i="1" s="1"/>
  <c r="AB74" i="1"/>
  <c r="AG74" i="1" s="1"/>
  <c r="AB66" i="1"/>
  <c r="AC66" i="1" s="1"/>
  <c r="AB58" i="1"/>
  <c r="AG58" i="1" s="1"/>
  <c r="AB50" i="1"/>
  <c r="AC50" i="1" s="1"/>
  <c r="AB42" i="1"/>
  <c r="AG42" i="1" s="1"/>
  <c r="AB34" i="1"/>
  <c r="AG34" i="1" s="1"/>
  <c r="AB26" i="1"/>
  <c r="AC26" i="1" s="1"/>
  <c r="AB18" i="1"/>
  <c r="AG18" i="1" s="1"/>
  <c r="AB10" i="1"/>
  <c r="AG10" i="1" s="1"/>
  <c r="AB49" i="1"/>
  <c r="AG49" i="1" s="1"/>
  <c r="AB41" i="1"/>
  <c r="AC41" i="1" s="1"/>
  <c r="AB33" i="1"/>
  <c r="AC33" i="1" s="1"/>
  <c r="AB25" i="1"/>
  <c r="AC25" i="1" s="1"/>
  <c r="AB17" i="1"/>
  <c r="AG17" i="1" s="1"/>
  <c r="AB9" i="1"/>
  <c r="AC9" i="1" s="1"/>
  <c r="AC39" i="6" l="1"/>
  <c r="AC56" i="5"/>
  <c r="AC68" i="5"/>
  <c r="AI9" i="6"/>
  <c r="AH9" i="6"/>
  <c r="AC77" i="5"/>
  <c r="AC106" i="6"/>
  <c r="AD106" i="6" s="1"/>
  <c r="AC76" i="6"/>
  <c r="AE76" i="6" s="1"/>
  <c r="AC86" i="6"/>
  <c r="AG51" i="6"/>
  <c r="AG12" i="6"/>
  <c r="AI12" i="6" s="1"/>
  <c r="AC83" i="6"/>
  <c r="AC7" i="6"/>
  <c r="AE7" i="6" s="1"/>
  <c r="AG48" i="5"/>
  <c r="AI48" i="5" s="1"/>
  <c r="AC35" i="6"/>
  <c r="AE35" i="6" s="1"/>
  <c r="AG26" i="6"/>
  <c r="AG2" i="6"/>
  <c r="AH23" i="6"/>
  <c r="AC9" i="6"/>
  <c r="AC44" i="5"/>
  <c r="AE44" i="5" s="1"/>
  <c r="AC7" i="5"/>
  <c r="AE7" i="5" s="1"/>
  <c r="AC40" i="5"/>
  <c r="AD40" i="5" s="1"/>
  <c r="AC101" i="6"/>
  <c r="AD101" i="6" s="1"/>
  <c r="AG78" i="6"/>
  <c r="AH78" i="6" s="1"/>
  <c r="AG53" i="6"/>
  <c r="AC32" i="6"/>
  <c r="AG44" i="6"/>
  <c r="AI44" i="6" s="1"/>
  <c r="AD95" i="6"/>
  <c r="AJ95" i="6" s="1"/>
  <c r="AL95" i="6" s="1"/>
  <c r="AO95" i="6" s="1"/>
  <c r="AI95" i="6"/>
  <c r="AG94" i="6"/>
  <c r="AI94" i="6" s="1"/>
  <c r="AI91" i="6"/>
  <c r="AH15" i="6"/>
  <c r="AD23" i="6"/>
  <c r="AE23" i="6"/>
  <c r="AC92" i="6"/>
  <c r="AD92" i="6" s="1"/>
  <c r="AC14" i="6"/>
  <c r="AD14" i="6" s="1"/>
  <c r="AC59" i="6"/>
  <c r="AK23" i="6"/>
  <c r="AL23" i="6" s="1"/>
  <c r="AO23" i="6" s="1"/>
  <c r="AG35" i="6"/>
  <c r="AI35" i="6" s="1"/>
  <c r="AC55" i="6"/>
  <c r="AD55" i="6" s="1"/>
  <c r="AC105" i="6"/>
  <c r="AD105" i="6" s="1"/>
  <c r="AD19" i="6"/>
  <c r="AE19" i="6"/>
  <c r="AD17" i="6"/>
  <c r="AE17" i="6"/>
  <c r="AH25" i="6"/>
  <c r="AI25" i="6"/>
  <c r="AK25" i="6" s="1"/>
  <c r="AL25" i="6" s="1"/>
  <c r="AO25" i="6" s="1"/>
  <c r="AD27" i="6"/>
  <c r="AE27" i="6"/>
  <c r="AI83" i="6"/>
  <c r="AH83" i="6"/>
  <c r="AG71" i="6"/>
  <c r="AI71" i="6" s="1"/>
  <c r="AG27" i="6"/>
  <c r="AI27" i="6" s="1"/>
  <c r="AC63" i="6"/>
  <c r="AD63" i="6" s="1"/>
  <c r="AG69" i="6"/>
  <c r="AH69" i="6" s="1"/>
  <c r="AC12" i="6"/>
  <c r="AE12" i="6" s="1"/>
  <c r="AG8" i="6"/>
  <c r="AH8" i="6" s="1"/>
  <c r="AG19" i="6"/>
  <c r="AE11" i="6"/>
  <c r="AC22" i="6"/>
  <c r="AE22" i="6" s="1"/>
  <c r="AG17" i="6"/>
  <c r="AG10" i="6"/>
  <c r="AI10" i="6" s="1"/>
  <c r="AG92" i="6"/>
  <c r="AH92" i="6" s="1"/>
  <c r="AG59" i="6"/>
  <c r="AI59" i="6" s="1"/>
  <c r="AC28" i="6"/>
  <c r="AD28" i="6" s="1"/>
  <c r="AC4" i="6"/>
  <c r="AG14" i="6"/>
  <c r="AH14" i="6" s="1"/>
  <c r="AG6" i="6"/>
  <c r="AH6" i="6" s="1"/>
  <c r="AC13" i="6"/>
  <c r="AE13" i="6" s="1"/>
  <c r="AI13" i="6"/>
  <c r="AH13" i="6"/>
  <c r="AH7" i="6"/>
  <c r="AI7" i="6"/>
  <c r="AK7" i="6" s="1"/>
  <c r="AL7" i="6" s="1"/>
  <c r="AO7" i="6" s="1"/>
  <c r="AH5" i="6"/>
  <c r="AI5" i="6"/>
  <c r="AG93" i="6"/>
  <c r="AI93" i="6" s="1"/>
  <c r="AG67" i="6"/>
  <c r="AH67" i="6" s="1"/>
  <c r="AG31" i="6"/>
  <c r="AH31" i="6" s="1"/>
  <c r="AG61" i="6"/>
  <c r="AH61" i="6" s="1"/>
  <c r="AC45" i="6"/>
  <c r="AD45" i="6" s="1"/>
  <c r="AG41" i="6"/>
  <c r="AI41" i="6" s="1"/>
  <c r="AG29" i="6"/>
  <c r="AD21" i="6"/>
  <c r="AG103" i="6"/>
  <c r="AC81" i="6"/>
  <c r="AE81" i="6" s="1"/>
  <c r="AG65" i="6"/>
  <c r="AH65" i="6" s="1"/>
  <c r="AG37" i="6"/>
  <c r="AH37" i="6" s="1"/>
  <c r="AC56" i="6"/>
  <c r="AE56" i="6" s="1"/>
  <c r="AC6" i="6"/>
  <c r="AE6" i="6" s="1"/>
  <c r="AE25" i="6"/>
  <c r="AC100" i="6"/>
  <c r="AE100" i="6" s="1"/>
  <c r="AC99" i="6"/>
  <c r="AE99" i="6" s="1"/>
  <c r="AC80" i="6"/>
  <c r="AD80" i="6" s="1"/>
  <c r="AG101" i="6"/>
  <c r="AI101" i="6" s="1"/>
  <c r="AC74" i="6"/>
  <c r="AE74" i="6" s="1"/>
  <c r="AC20" i="6"/>
  <c r="AD20" i="6" s="1"/>
  <c r="AG54" i="6"/>
  <c r="AI54" i="6" s="1"/>
  <c r="AG24" i="6"/>
  <c r="AG85" i="6"/>
  <c r="AH85" i="6" s="1"/>
  <c r="AG86" i="6"/>
  <c r="AI86" i="6" s="1"/>
  <c r="AC69" i="6"/>
  <c r="AD69" i="6" s="1"/>
  <c r="AC53" i="6"/>
  <c r="AD53" i="6" s="1"/>
  <c r="AG45" i="6"/>
  <c r="AI45" i="6" s="1"/>
  <c r="AC2" i="6"/>
  <c r="AD2" i="6" s="1"/>
  <c r="AD7" i="6"/>
  <c r="AC96" i="6"/>
  <c r="AD96" i="6" s="1"/>
  <c r="AC78" i="6"/>
  <c r="AE78" i="6" s="1"/>
  <c r="AC10" i="6"/>
  <c r="AE10" i="6" s="1"/>
  <c r="AG82" i="6"/>
  <c r="AH82" i="6" s="1"/>
  <c r="AG81" i="6"/>
  <c r="AH81" i="6" s="1"/>
  <c r="AG89" i="6"/>
  <c r="AH89" i="6" s="1"/>
  <c r="AG105" i="6"/>
  <c r="AI105" i="6" s="1"/>
  <c r="AC65" i="6"/>
  <c r="AE65" i="6" s="1"/>
  <c r="AC57" i="6"/>
  <c r="AD57" i="6" s="1"/>
  <c r="AC43" i="6"/>
  <c r="AE43" i="6" s="1"/>
  <c r="AG49" i="6"/>
  <c r="AH49" i="6" s="1"/>
  <c r="AC18" i="6"/>
  <c r="AD18" i="6" s="1"/>
  <c r="AD15" i="6"/>
  <c r="AK15" i="6"/>
  <c r="AL15" i="6" s="1"/>
  <c r="AO15" i="6" s="1"/>
  <c r="AD3" i="6"/>
  <c r="AE73" i="6"/>
  <c r="AD73" i="6"/>
  <c r="AE93" i="6"/>
  <c r="AD93" i="6"/>
  <c r="AI56" i="6"/>
  <c r="AH56" i="6"/>
  <c r="AH55" i="6"/>
  <c r="AI55" i="6"/>
  <c r="AE40" i="6"/>
  <c r="AD40" i="6"/>
  <c r="AH16" i="6"/>
  <c r="AI16" i="6"/>
  <c r="AE89" i="6"/>
  <c r="AD89" i="6"/>
  <c r="AH76" i="6"/>
  <c r="AI76" i="6"/>
  <c r="AI58" i="6"/>
  <c r="AH58" i="6"/>
  <c r="AH53" i="6"/>
  <c r="AI53" i="6"/>
  <c r="AH51" i="6"/>
  <c r="AI51" i="6"/>
  <c r="AE42" i="6"/>
  <c r="AD42" i="6"/>
  <c r="AI48" i="6"/>
  <c r="AH48" i="6"/>
  <c r="AI99" i="6"/>
  <c r="AH99" i="6"/>
  <c r="AI85" i="6"/>
  <c r="AE64" i="6"/>
  <c r="AD64" i="6"/>
  <c r="AE50" i="6"/>
  <c r="AD50" i="6"/>
  <c r="AH63" i="6"/>
  <c r="AI63" i="6"/>
  <c r="AH100" i="6"/>
  <c r="AI100" i="6"/>
  <c r="AE101" i="6"/>
  <c r="AH80" i="6"/>
  <c r="AI80" i="6"/>
  <c r="AE72" i="6"/>
  <c r="AD72" i="6"/>
  <c r="AH20" i="6"/>
  <c r="AI20" i="6"/>
  <c r="AH12" i="6"/>
  <c r="AH24" i="6"/>
  <c r="AI24" i="6"/>
  <c r="AH104" i="6"/>
  <c r="AI104" i="6"/>
  <c r="AD82" i="6"/>
  <c r="AE82" i="6"/>
  <c r="AI77" i="6"/>
  <c r="AH77" i="6"/>
  <c r="AD85" i="6"/>
  <c r="AE85" i="6"/>
  <c r="AE97" i="6"/>
  <c r="AD97" i="6"/>
  <c r="AE62" i="6"/>
  <c r="AD62" i="6"/>
  <c r="AH57" i="6"/>
  <c r="AI57" i="6"/>
  <c r="AH47" i="6"/>
  <c r="AI47" i="6"/>
  <c r="AH39" i="6"/>
  <c r="AI39" i="6"/>
  <c r="AI43" i="6"/>
  <c r="AH43" i="6"/>
  <c r="AH26" i="6"/>
  <c r="AI26" i="6"/>
  <c r="AH10" i="6"/>
  <c r="AH2" i="6"/>
  <c r="AI2" i="6"/>
  <c r="AD78" i="6"/>
  <c r="AG97" i="6"/>
  <c r="AD4" i="6"/>
  <c r="AE4" i="6"/>
  <c r="AC30" i="6"/>
  <c r="AG30" i="6"/>
  <c r="AE34" i="6"/>
  <c r="AD34" i="6"/>
  <c r="AH18" i="6"/>
  <c r="AI18" i="6"/>
  <c r="AH28" i="6"/>
  <c r="AI28" i="6"/>
  <c r="AH4" i="6"/>
  <c r="AI4" i="6"/>
  <c r="AC36" i="6"/>
  <c r="AH22" i="6"/>
  <c r="AI22" i="6"/>
  <c r="AI6" i="6"/>
  <c r="AC104" i="6"/>
  <c r="AC94" i="6"/>
  <c r="AE103" i="6"/>
  <c r="AD103" i="6"/>
  <c r="AH96" i="6"/>
  <c r="AI96" i="6"/>
  <c r="AE80" i="6"/>
  <c r="AI75" i="6"/>
  <c r="AH75" i="6"/>
  <c r="AC88" i="6"/>
  <c r="AD84" i="6"/>
  <c r="AE84" i="6"/>
  <c r="AC68" i="6"/>
  <c r="AC60" i="6"/>
  <c r="AC49" i="6"/>
  <c r="AC41" i="6"/>
  <c r="AE33" i="6"/>
  <c r="AD33" i="6"/>
  <c r="AG74" i="6"/>
  <c r="AC71" i="6"/>
  <c r="AD26" i="6"/>
  <c r="AE26" i="6"/>
  <c r="AG90" i="6"/>
  <c r="AC77" i="6"/>
  <c r="AG62" i="6"/>
  <c r="AG52" i="6"/>
  <c r="AG64" i="6"/>
  <c r="AG68" i="6"/>
  <c r="AG40" i="6"/>
  <c r="AH27" i="6"/>
  <c r="AI19" i="6"/>
  <c r="AK19" i="6" s="1"/>
  <c r="AL19" i="6" s="1"/>
  <c r="AO19" i="6" s="1"/>
  <c r="AH19" i="6"/>
  <c r="AI11" i="6"/>
  <c r="AH11" i="6"/>
  <c r="AI3" i="6"/>
  <c r="AK3" i="6" s="1"/>
  <c r="AL3" i="6" s="1"/>
  <c r="AO3" i="6" s="1"/>
  <c r="AH3" i="6"/>
  <c r="AH86" i="6"/>
  <c r="AG98" i="6"/>
  <c r="AD86" i="6"/>
  <c r="AE86" i="6"/>
  <c r="AG73" i="6"/>
  <c r="AC66" i="6"/>
  <c r="AD90" i="6"/>
  <c r="AE90" i="6"/>
  <c r="AD12" i="6"/>
  <c r="AE32" i="6"/>
  <c r="AD32" i="6"/>
  <c r="AI21" i="6"/>
  <c r="AK21" i="6" s="1"/>
  <c r="AL21" i="6" s="1"/>
  <c r="AO21" i="6" s="1"/>
  <c r="AH21" i="6"/>
  <c r="AH44" i="6"/>
  <c r="AH29" i="6"/>
  <c r="AI29" i="6"/>
  <c r="AI14" i="6"/>
  <c r="AE54" i="6"/>
  <c r="AD54" i="6"/>
  <c r="AC102" i="6"/>
  <c r="AC98" i="6"/>
  <c r="AG102" i="6"/>
  <c r="AD91" i="6"/>
  <c r="AJ91" i="6" s="1"/>
  <c r="AL91" i="6" s="1"/>
  <c r="AO91" i="6" s="1"/>
  <c r="AE91" i="6"/>
  <c r="AE87" i="6"/>
  <c r="AD87" i="6"/>
  <c r="AG84" i="6"/>
  <c r="AD67" i="6"/>
  <c r="AE67" i="6"/>
  <c r="AD59" i="6"/>
  <c r="AE59" i="6"/>
  <c r="AC51" i="6"/>
  <c r="AC47" i="6"/>
  <c r="AE39" i="6"/>
  <c r="AD39" i="6"/>
  <c r="AC31" i="6"/>
  <c r="AG88" i="6"/>
  <c r="AG72" i="6"/>
  <c r="AC75" i="6"/>
  <c r="AC24" i="6"/>
  <c r="AC16" i="6"/>
  <c r="AC8" i="6"/>
  <c r="AG70" i="6"/>
  <c r="AC46" i="6"/>
  <c r="AG46" i="6"/>
  <c r="AG60" i="6"/>
  <c r="AH106" i="6"/>
  <c r="AI106" i="6"/>
  <c r="AC58" i="6"/>
  <c r="AE79" i="6"/>
  <c r="AD79" i="6"/>
  <c r="AI87" i="6"/>
  <c r="AH87" i="6"/>
  <c r="AD61" i="6"/>
  <c r="AE61" i="6"/>
  <c r="AD37" i="6"/>
  <c r="AE37" i="6"/>
  <c r="AE29" i="6"/>
  <c r="AD29" i="6"/>
  <c r="AG79" i="6"/>
  <c r="AD22" i="6"/>
  <c r="AG50" i="6"/>
  <c r="AC38" i="6"/>
  <c r="AG38" i="6"/>
  <c r="AI33" i="6"/>
  <c r="AH33" i="6"/>
  <c r="AC52" i="6"/>
  <c r="AG34" i="6"/>
  <c r="AG32" i="6"/>
  <c r="AG66" i="6"/>
  <c r="AG42" i="6"/>
  <c r="AG36" i="6"/>
  <c r="AC48" i="6"/>
  <c r="AE5" i="6"/>
  <c r="AD5" i="6"/>
  <c r="AC70" i="6"/>
  <c r="AC44" i="6"/>
  <c r="AC64" i="5"/>
  <c r="AD64" i="5" s="1"/>
  <c r="AC95" i="5"/>
  <c r="AC36" i="5"/>
  <c r="AD36" i="5" s="1"/>
  <c r="AC28" i="5"/>
  <c r="AE28" i="5" s="1"/>
  <c r="AC17" i="5"/>
  <c r="AE17" i="5" s="1"/>
  <c r="AG89" i="5"/>
  <c r="AI89" i="5" s="1"/>
  <c r="AC41" i="5"/>
  <c r="AC32" i="5"/>
  <c r="AD32" i="5" s="1"/>
  <c r="AC24" i="5"/>
  <c r="AD24" i="5" s="1"/>
  <c r="AG103" i="5"/>
  <c r="AC105" i="5"/>
  <c r="AC54" i="5"/>
  <c r="AE54" i="5" s="1"/>
  <c r="AC19" i="5"/>
  <c r="AE19" i="5" s="1"/>
  <c r="AC84" i="5"/>
  <c r="AC106" i="5"/>
  <c r="AD106" i="5" s="1"/>
  <c r="AC89" i="5"/>
  <c r="AD89" i="5" s="1"/>
  <c r="AG74" i="5"/>
  <c r="AI74" i="5" s="1"/>
  <c r="AG70" i="5"/>
  <c r="AG97" i="5"/>
  <c r="AH97" i="5" s="1"/>
  <c r="AG77" i="5"/>
  <c r="AI77" i="5" s="1"/>
  <c r="AG76" i="5"/>
  <c r="AH76" i="5" s="1"/>
  <c r="AG55" i="5"/>
  <c r="AG45" i="5"/>
  <c r="AI45" i="5" s="1"/>
  <c r="AG41" i="5"/>
  <c r="AG37" i="5"/>
  <c r="AI37" i="5" s="1"/>
  <c r="AG33" i="5"/>
  <c r="AC11" i="5"/>
  <c r="AD11" i="5" s="1"/>
  <c r="AG10" i="5"/>
  <c r="AH10" i="5" s="1"/>
  <c r="AG31" i="5"/>
  <c r="AI31" i="5" s="1"/>
  <c r="AC99" i="5"/>
  <c r="AC91" i="5"/>
  <c r="AE91" i="5" s="1"/>
  <c r="AC53" i="5"/>
  <c r="AE53" i="5" s="1"/>
  <c r="AG46" i="5"/>
  <c r="AI46" i="5" s="1"/>
  <c r="AG40" i="5"/>
  <c r="AH40" i="5" s="1"/>
  <c r="AG8" i="5"/>
  <c r="AI8" i="5" s="1"/>
  <c r="AG39" i="5"/>
  <c r="AG17" i="5"/>
  <c r="AI17" i="5" s="1"/>
  <c r="AC96" i="5"/>
  <c r="AD96" i="5" s="1"/>
  <c r="AC101" i="5"/>
  <c r="AE101" i="5" s="1"/>
  <c r="AC43" i="5"/>
  <c r="AC15" i="5"/>
  <c r="AE15" i="5" s="1"/>
  <c r="AI83" i="5"/>
  <c r="AH83" i="5"/>
  <c r="AH59" i="5"/>
  <c r="AI59" i="5"/>
  <c r="AH51" i="5"/>
  <c r="AI51" i="5"/>
  <c r="AI35" i="5"/>
  <c r="AH35" i="5"/>
  <c r="AI9" i="5"/>
  <c r="AH9" i="5"/>
  <c r="AD98" i="5"/>
  <c r="AE98" i="5"/>
  <c r="AH90" i="5"/>
  <c r="AI90" i="5"/>
  <c r="AI103" i="5"/>
  <c r="AH103" i="5"/>
  <c r="AI99" i="5"/>
  <c r="AH99" i="5"/>
  <c r="AI91" i="5"/>
  <c r="AH91" i="5"/>
  <c r="AE65" i="5"/>
  <c r="AD65" i="5"/>
  <c r="AI42" i="5"/>
  <c r="AH42" i="5"/>
  <c r="AI34" i="5"/>
  <c r="AH34" i="5"/>
  <c r="AD18" i="5"/>
  <c r="AE18" i="5"/>
  <c r="AE46" i="5"/>
  <c r="AD46" i="5"/>
  <c r="AD20" i="5"/>
  <c r="AE20" i="5"/>
  <c r="AD12" i="5"/>
  <c r="AE12" i="5"/>
  <c r="AD4" i="5"/>
  <c r="AE4" i="5"/>
  <c r="AH14" i="5"/>
  <c r="AI14" i="5"/>
  <c r="AI15" i="5"/>
  <c r="AH15" i="5"/>
  <c r="AI75" i="5"/>
  <c r="AH75" i="5"/>
  <c r="AI70" i="5"/>
  <c r="AH70" i="5"/>
  <c r="AI97" i="5"/>
  <c r="AH63" i="5"/>
  <c r="AI63" i="5"/>
  <c r="AD47" i="5"/>
  <c r="AE47" i="5"/>
  <c r="AI41" i="5"/>
  <c r="AH41" i="5"/>
  <c r="AI33" i="5"/>
  <c r="AH33" i="5"/>
  <c r="AH102" i="5"/>
  <c r="AI102" i="5"/>
  <c r="AI85" i="5"/>
  <c r="AH85" i="5"/>
  <c r="AE74" i="5"/>
  <c r="AD74" i="5"/>
  <c r="AD78" i="5"/>
  <c r="AE78" i="5"/>
  <c r="AH73" i="5"/>
  <c r="AI73" i="5"/>
  <c r="AH69" i="5"/>
  <c r="AI69" i="5"/>
  <c r="AI72" i="5"/>
  <c r="AH72" i="5"/>
  <c r="AI62" i="5"/>
  <c r="AH62" i="5"/>
  <c r="AI54" i="5"/>
  <c r="AH54" i="5"/>
  <c r="AH22" i="5"/>
  <c r="AI22" i="5"/>
  <c r="AH44" i="5"/>
  <c r="AI44" i="5"/>
  <c r="AH36" i="5"/>
  <c r="AI36" i="5"/>
  <c r="AH32" i="5"/>
  <c r="AI32" i="5"/>
  <c r="AH28" i="5"/>
  <c r="AI28" i="5"/>
  <c r="AH24" i="5"/>
  <c r="AI24" i="5"/>
  <c r="AH16" i="5"/>
  <c r="AI16" i="5"/>
  <c r="AI19" i="5"/>
  <c r="AH19" i="5"/>
  <c r="AD6" i="5"/>
  <c r="AE6" i="5"/>
  <c r="AE13" i="5"/>
  <c r="AD13" i="5"/>
  <c r="AI7" i="5"/>
  <c r="AH7" i="5"/>
  <c r="AE99" i="5"/>
  <c r="AD99" i="5"/>
  <c r="AD91" i="5"/>
  <c r="AE83" i="5"/>
  <c r="AD83" i="5"/>
  <c r="AH94" i="5"/>
  <c r="AI94" i="5"/>
  <c r="AH86" i="5"/>
  <c r="AI86" i="5"/>
  <c r="AI105" i="5"/>
  <c r="AH105" i="5"/>
  <c r="AD67" i="5"/>
  <c r="AE67" i="5"/>
  <c r="AC73" i="5"/>
  <c r="AI81" i="5"/>
  <c r="AH81" i="5"/>
  <c r="AE76" i="5"/>
  <c r="AD76" i="5"/>
  <c r="AE72" i="5"/>
  <c r="AK72" i="5" s="1"/>
  <c r="AL72" i="5" s="1"/>
  <c r="AO72" i="5" s="1"/>
  <c r="AD72" i="5"/>
  <c r="AE68" i="5"/>
  <c r="AD68" i="5"/>
  <c r="AH77" i="5"/>
  <c r="AI66" i="5"/>
  <c r="AH66" i="5"/>
  <c r="AE60" i="5"/>
  <c r="AD60" i="5"/>
  <c r="AE52" i="5"/>
  <c r="AD52" i="5"/>
  <c r="AG88" i="5"/>
  <c r="AC80" i="5"/>
  <c r="AD63" i="5"/>
  <c r="AJ63" i="5" s="1"/>
  <c r="AL63" i="5" s="1"/>
  <c r="AO63" i="5" s="1"/>
  <c r="AE63" i="5"/>
  <c r="AC90" i="5"/>
  <c r="AC94" i="5"/>
  <c r="AE45" i="5"/>
  <c r="AD45" i="5"/>
  <c r="AE37" i="5"/>
  <c r="AD37" i="5"/>
  <c r="AE29" i="5"/>
  <c r="AD29" i="5"/>
  <c r="AE21" i="5"/>
  <c r="AD21" i="5"/>
  <c r="AC75" i="5"/>
  <c r="AI50" i="5"/>
  <c r="AH50" i="5"/>
  <c r="AE3" i="5"/>
  <c r="AD3" i="5"/>
  <c r="AI39" i="5"/>
  <c r="AH39" i="5"/>
  <c r="AC16" i="5"/>
  <c r="AC8" i="5"/>
  <c r="AC10" i="5"/>
  <c r="AC51" i="5"/>
  <c r="AG21" i="5"/>
  <c r="AG20" i="5"/>
  <c r="AC59" i="5"/>
  <c r="AG25" i="5"/>
  <c r="AC42" i="5"/>
  <c r="AG13" i="5"/>
  <c r="AG47" i="5"/>
  <c r="AC9" i="5"/>
  <c r="AD88" i="5"/>
  <c r="AE88" i="5"/>
  <c r="AH80" i="5"/>
  <c r="AI80" i="5"/>
  <c r="AC104" i="5"/>
  <c r="AE93" i="5"/>
  <c r="AD93" i="5"/>
  <c r="AJ93" i="5" s="1"/>
  <c r="AL93" i="5" s="1"/>
  <c r="AO93" i="5" s="1"/>
  <c r="AE85" i="5"/>
  <c r="AD85" i="5"/>
  <c r="AI101" i="5"/>
  <c r="AH101" i="5"/>
  <c r="AI93" i="5"/>
  <c r="AH93" i="5"/>
  <c r="AE66" i="5"/>
  <c r="AD66" i="5"/>
  <c r="AC86" i="5"/>
  <c r="AD57" i="5"/>
  <c r="AE57" i="5"/>
  <c r="AD49" i="5"/>
  <c r="AE49" i="5"/>
  <c r="AG98" i="5"/>
  <c r="AG84" i="5"/>
  <c r="AC102" i="5"/>
  <c r="AE58" i="5"/>
  <c r="AD58" i="5"/>
  <c r="AE50" i="5"/>
  <c r="AD50" i="5"/>
  <c r="AG68" i="5"/>
  <c r="AG26" i="5"/>
  <c r="AC26" i="5"/>
  <c r="AI58" i="5"/>
  <c r="AH58" i="5"/>
  <c r="AG57" i="5"/>
  <c r="AG64" i="5"/>
  <c r="AG18" i="5"/>
  <c r="AI11" i="5"/>
  <c r="AH11" i="5"/>
  <c r="AC2" i="5"/>
  <c r="AC34" i="5"/>
  <c r="AG5" i="5"/>
  <c r="AG4" i="5"/>
  <c r="AG12" i="5"/>
  <c r="AE103" i="5"/>
  <c r="AD103" i="5"/>
  <c r="AE95" i="5"/>
  <c r="AD95" i="5"/>
  <c r="AE87" i="5"/>
  <c r="AD87" i="5"/>
  <c r="AE79" i="5"/>
  <c r="AD79" i="5"/>
  <c r="AC71" i="5"/>
  <c r="AG71" i="5"/>
  <c r="AI87" i="5"/>
  <c r="AH87" i="5"/>
  <c r="AD69" i="5"/>
  <c r="AJ69" i="5" s="1"/>
  <c r="AL69" i="5" s="1"/>
  <c r="AO69" i="5" s="1"/>
  <c r="AE69" i="5"/>
  <c r="AG82" i="5"/>
  <c r="AG78" i="5"/>
  <c r="AG96" i="5"/>
  <c r="AH79" i="5"/>
  <c r="AI79" i="5"/>
  <c r="AE56" i="5"/>
  <c r="AD56" i="5"/>
  <c r="AE48" i="5"/>
  <c r="AD48" i="5"/>
  <c r="AC82" i="5"/>
  <c r="AE77" i="5"/>
  <c r="AD77" i="5"/>
  <c r="AH55" i="5"/>
  <c r="AI55" i="5"/>
  <c r="AI60" i="5"/>
  <c r="AH60" i="5"/>
  <c r="AI52" i="5"/>
  <c r="AH52" i="5"/>
  <c r="AE41" i="5"/>
  <c r="AD41" i="5"/>
  <c r="AE33" i="5"/>
  <c r="AD33" i="5"/>
  <c r="AE25" i="5"/>
  <c r="AD25" i="5"/>
  <c r="AG67" i="5"/>
  <c r="AH48" i="5"/>
  <c r="AE43" i="5"/>
  <c r="AD43" i="5"/>
  <c r="AE39" i="5"/>
  <c r="AD39" i="5"/>
  <c r="AE35" i="5"/>
  <c r="AD35" i="5"/>
  <c r="AJ35" i="5" s="1"/>
  <c r="AL35" i="5" s="1"/>
  <c r="AO35" i="5" s="1"/>
  <c r="AE31" i="5"/>
  <c r="AD31" i="5"/>
  <c r="AE27" i="5"/>
  <c r="AD27" i="5"/>
  <c r="AE23" i="5"/>
  <c r="AD23" i="5"/>
  <c r="AG29" i="5"/>
  <c r="AC14" i="5"/>
  <c r="AG53" i="5"/>
  <c r="AI43" i="5"/>
  <c r="AH43" i="5"/>
  <c r="AC55" i="5"/>
  <c r="AG61" i="5"/>
  <c r="AG65" i="5"/>
  <c r="AC22" i="5"/>
  <c r="AG2" i="5"/>
  <c r="AD100" i="5"/>
  <c r="AE100" i="5"/>
  <c r="AD92" i="5"/>
  <c r="AE92" i="5"/>
  <c r="AD84" i="5"/>
  <c r="AE84" i="5"/>
  <c r="AE105" i="5"/>
  <c r="AD105" i="5"/>
  <c r="AE97" i="5"/>
  <c r="AD97" i="5"/>
  <c r="AE89" i="5"/>
  <c r="AH106" i="5"/>
  <c r="AI106" i="5"/>
  <c r="AE70" i="5"/>
  <c r="AD70" i="5"/>
  <c r="AI95" i="5"/>
  <c r="AH95" i="5"/>
  <c r="AH89" i="5"/>
  <c r="AG92" i="5"/>
  <c r="AD61" i="5"/>
  <c r="AE61" i="5"/>
  <c r="AD53" i="5"/>
  <c r="AG104" i="5"/>
  <c r="AC81" i="5"/>
  <c r="AE62" i="5"/>
  <c r="AD62" i="5"/>
  <c r="AG100" i="5"/>
  <c r="AG38" i="5"/>
  <c r="AC38" i="5"/>
  <c r="AC30" i="5"/>
  <c r="AG30" i="5"/>
  <c r="AI56" i="5"/>
  <c r="AH56" i="5"/>
  <c r="AI27" i="5"/>
  <c r="AK27" i="5" s="1"/>
  <c r="AL27" i="5" s="1"/>
  <c r="AO27" i="5" s="1"/>
  <c r="AH27" i="5"/>
  <c r="AG23" i="5"/>
  <c r="AI3" i="5"/>
  <c r="AH3" i="5"/>
  <c r="AG49" i="5"/>
  <c r="AG6" i="5"/>
  <c r="AC5" i="5"/>
  <c r="AG103" i="1"/>
  <c r="AC89" i="1"/>
  <c r="AC105" i="1"/>
  <c r="AG106" i="1"/>
  <c r="AG99" i="1"/>
  <c r="AC69" i="1"/>
  <c r="AC85" i="1"/>
  <c r="AG102" i="1"/>
  <c r="AG71" i="1"/>
  <c r="AG80" i="1"/>
  <c r="AG54" i="1"/>
  <c r="AC8" i="1"/>
  <c r="AE8" i="1" s="1"/>
  <c r="AC94" i="1"/>
  <c r="AC32" i="1"/>
  <c r="AD32" i="1" s="1"/>
  <c r="AG56" i="1"/>
  <c r="AH56" i="1" s="1"/>
  <c r="AG88" i="1"/>
  <c r="AG67" i="1"/>
  <c r="AI67" i="1" s="1"/>
  <c r="AG5" i="1"/>
  <c r="AG14" i="1"/>
  <c r="AH14" i="1" s="1"/>
  <c r="AG70" i="1"/>
  <c r="AC13" i="1"/>
  <c r="AE13" i="1" s="1"/>
  <c r="AG35" i="1"/>
  <c r="AI35" i="1" s="1"/>
  <c r="AC24" i="1"/>
  <c r="AD24" i="1" s="1"/>
  <c r="AC48" i="1"/>
  <c r="AC45" i="1"/>
  <c r="AC16" i="1"/>
  <c r="AG64" i="1"/>
  <c r="AG96" i="1"/>
  <c r="AH96" i="1" s="1"/>
  <c r="AC6" i="1"/>
  <c r="AG83" i="1"/>
  <c r="AH83" i="1" s="1"/>
  <c r="AC40" i="1"/>
  <c r="AC11" i="1"/>
  <c r="AC98" i="1"/>
  <c r="AG46" i="1"/>
  <c r="AG22" i="1"/>
  <c r="AH22" i="1" s="1"/>
  <c r="AG72" i="1"/>
  <c r="AG104" i="1"/>
  <c r="AH104" i="1" s="1"/>
  <c r="AG30" i="1"/>
  <c r="AH30" i="1" s="1"/>
  <c r="AC79" i="1"/>
  <c r="AD83" i="1"/>
  <c r="AE83" i="1"/>
  <c r="AD99" i="1"/>
  <c r="AE99" i="1"/>
  <c r="AH45" i="1"/>
  <c r="AI45" i="1"/>
  <c r="AD94" i="1"/>
  <c r="AE94" i="1"/>
  <c r="AH65" i="1"/>
  <c r="AI65" i="1"/>
  <c r="AH77" i="1"/>
  <c r="AI77" i="1"/>
  <c r="AH89" i="1"/>
  <c r="AI89" i="1"/>
  <c r="AH43" i="1"/>
  <c r="AI43" i="1"/>
  <c r="AD71" i="1"/>
  <c r="AE71" i="1"/>
  <c r="AH101" i="1"/>
  <c r="AI101" i="1"/>
  <c r="AD93" i="1"/>
  <c r="AE93" i="1"/>
  <c r="AD67" i="1"/>
  <c r="AE67" i="1"/>
  <c r="AD33" i="1"/>
  <c r="AE33" i="1"/>
  <c r="AD50" i="1"/>
  <c r="AE50" i="1"/>
  <c r="AH87" i="1"/>
  <c r="AI87" i="1"/>
  <c r="AD5" i="1"/>
  <c r="AE5" i="1"/>
  <c r="AC29" i="1"/>
  <c r="AD8" i="1"/>
  <c r="AD31" i="1"/>
  <c r="AE31" i="1"/>
  <c r="AH51" i="1"/>
  <c r="AI51" i="1"/>
  <c r="AH80" i="1"/>
  <c r="AI80" i="1"/>
  <c r="AC18" i="1"/>
  <c r="AD73" i="1"/>
  <c r="AE73" i="1"/>
  <c r="AH57" i="1"/>
  <c r="AI57" i="1"/>
  <c r="AG66" i="1"/>
  <c r="AH62" i="1"/>
  <c r="AI62" i="1"/>
  <c r="AD105" i="1"/>
  <c r="AE105" i="1"/>
  <c r="AG25" i="1"/>
  <c r="AH106" i="1"/>
  <c r="AI106" i="1"/>
  <c r="AG94" i="1"/>
  <c r="AH54" i="1"/>
  <c r="AI54" i="1"/>
  <c r="AD97" i="1"/>
  <c r="AE97" i="1"/>
  <c r="AD41" i="1"/>
  <c r="AE41" i="1"/>
  <c r="AH58" i="1"/>
  <c r="AI58" i="1"/>
  <c r="AG95" i="1"/>
  <c r="AH13" i="1"/>
  <c r="AI13" i="1"/>
  <c r="AC37" i="1"/>
  <c r="AH11" i="1"/>
  <c r="AI11" i="1"/>
  <c r="AE32" i="1"/>
  <c r="AH55" i="1"/>
  <c r="AI55" i="1"/>
  <c r="AD87" i="1"/>
  <c r="AJ87" i="1" s="1"/>
  <c r="AL87" i="1" s="1"/>
  <c r="AE87" i="1"/>
  <c r="AH86" i="1"/>
  <c r="AI86" i="1"/>
  <c r="AD78" i="1"/>
  <c r="AE78" i="1"/>
  <c r="AH67" i="1"/>
  <c r="AH91" i="1"/>
  <c r="AI91" i="1"/>
  <c r="AH78" i="1"/>
  <c r="AI78" i="1"/>
  <c r="AD27" i="1"/>
  <c r="AE27" i="1"/>
  <c r="AC49" i="1"/>
  <c r="AD54" i="1"/>
  <c r="AE54" i="1"/>
  <c r="AD75" i="1"/>
  <c r="AE75" i="1"/>
  <c r="AH49" i="1"/>
  <c r="AI49" i="1"/>
  <c r="AD66" i="1"/>
  <c r="AE66" i="1"/>
  <c r="AH103" i="1"/>
  <c r="AI103" i="1"/>
  <c r="AD21" i="1"/>
  <c r="AE21" i="1"/>
  <c r="AD45" i="1"/>
  <c r="AJ45" i="1" s="1"/>
  <c r="AL45" i="1" s="1"/>
  <c r="AE45" i="1"/>
  <c r="AH15" i="1"/>
  <c r="AI15" i="1"/>
  <c r="AH35" i="1"/>
  <c r="AH88" i="1"/>
  <c r="AI88" i="1"/>
  <c r="AG97" i="1"/>
  <c r="AD38" i="1"/>
  <c r="AE38" i="1"/>
  <c r="AH85" i="1"/>
  <c r="AI85" i="1"/>
  <c r="AH73" i="1"/>
  <c r="AI73" i="1"/>
  <c r="AH6" i="1"/>
  <c r="AI6" i="1"/>
  <c r="AH90" i="1"/>
  <c r="AI90" i="1"/>
  <c r="AC65" i="1"/>
  <c r="AH5" i="1"/>
  <c r="AI5" i="1"/>
  <c r="AH61" i="1"/>
  <c r="AI61" i="1"/>
  <c r="AH70" i="1"/>
  <c r="AI70" i="1"/>
  <c r="AH8" i="1"/>
  <c r="AI8" i="1"/>
  <c r="AK8" i="1" s="1"/>
  <c r="AL8" i="1" s="1"/>
  <c r="AD16" i="1"/>
  <c r="AE16" i="1"/>
  <c r="AD14" i="1"/>
  <c r="AE14" i="1"/>
  <c r="AH18" i="1"/>
  <c r="AI18" i="1"/>
  <c r="AD82" i="1"/>
  <c r="AE82" i="1"/>
  <c r="AG16" i="1"/>
  <c r="AH37" i="1"/>
  <c r="AI37" i="1"/>
  <c r="AD69" i="1"/>
  <c r="AE69" i="1"/>
  <c r="AH19" i="1"/>
  <c r="AI19" i="1"/>
  <c r="AD40" i="1"/>
  <c r="AE40" i="1"/>
  <c r="AH64" i="1"/>
  <c r="AI64" i="1"/>
  <c r="AD57" i="1"/>
  <c r="AJ57" i="1" s="1"/>
  <c r="AL57" i="1" s="1"/>
  <c r="AE57" i="1"/>
  <c r="AG93" i="1"/>
  <c r="AD19" i="1"/>
  <c r="AE19" i="1"/>
  <c r="AC56" i="1"/>
  <c r="AD81" i="1"/>
  <c r="AE81" i="1"/>
  <c r="AD70" i="1"/>
  <c r="AE70" i="1"/>
  <c r="AH74" i="1"/>
  <c r="AI74" i="1"/>
  <c r="AD63" i="1"/>
  <c r="AE63" i="1"/>
  <c r="AH102" i="1"/>
  <c r="AI102" i="1"/>
  <c r="AD9" i="1"/>
  <c r="AE9" i="1"/>
  <c r="AD26" i="1"/>
  <c r="AE26" i="1"/>
  <c r="AH3" i="1"/>
  <c r="AI3" i="1"/>
  <c r="AH32" i="1"/>
  <c r="AI32" i="1"/>
  <c r="AK32" i="1" s="1"/>
  <c r="AL32" i="1" s="1"/>
  <c r="AC77" i="1"/>
  <c r="AH23" i="1"/>
  <c r="AI23" i="1"/>
  <c r="AD103" i="1"/>
  <c r="AE103" i="1"/>
  <c r="AD62" i="1"/>
  <c r="AE62" i="1"/>
  <c r="AC96" i="1"/>
  <c r="AH38" i="1"/>
  <c r="AI38" i="1"/>
  <c r="AC58" i="1"/>
  <c r="AH99" i="1"/>
  <c r="AI99" i="1"/>
  <c r="AH75" i="1"/>
  <c r="AI75" i="1"/>
  <c r="AI22" i="1"/>
  <c r="AH29" i="1"/>
  <c r="AI29" i="1"/>
  <c r="AD61" i="1"/>
  <c r="AJ61" i="1" s="1"/>
  <c r="AL61" i="1" s="1"/>
  <c r="AE61" i="1"/>
  <c r="AD95" i="1"/>
  <c r="AE95" i="1"/>
  <c r="AD102" i="1"/>
  <c r="AE102" i="1"/>
  <c r="AD43" i="1"/>
  <c r="AE43" i="1"/>
  <c r="AI83" i="1"/>
  <c r="AH59" i="1"/>
  <c r="AI59" i="1"/>
  <c r="AD91" i="1"/>
  <c r="AJ91" i="1" s="1"/>
  <c r="AL91" i="1" s="1"/>
  <c r="AE91" i="1"/>
  <c r="AH17" i="1"/>
  <c r="AI17" i="1"/>
  <c r="AH34" i="1"/>
  <c r="AI34" i="1"/>
  <c r="AG63" i="1"/>
  <c r="AH40" i="1"/>
  <c r="AI40" i="1"/>
  <c r="AK40" i="1" s="1"/>
  <c r="AL40" i="1" s="1"/>
  <c r="AH53" i="1"/>
  <c r="AI53" i="1"/>
  <c r="AD85" i="1"/>
  <c r="AE85" i="1"/>
  <c r="AE24" i="1"/>
  <c r="AH47" i="1"/>
  <c r="AI47" i="1"/>
  <c r="AH72" i="1"/>
  <c r="AI72" i="1"/>
  <c r="AD6" i="1"/>
  <c r="AE6" i="1"/>
  <c r="AH69" i="1"/>
  <c r="AI69" i="1"/>
  <c r="AH98" i="1"/>
  <c r="AI98" i="1"/>
  <c r="AD98" i="1"/>
  <c r="AE98" i="1"/>
  <c r="AD46" i="1"/>
  <c r="AE46" i="1"/>
  <c r="AD90" i="1"/>
  <c r="AE90" i="1"/>
  <c r="AH105" i="1"/>
  <c r="AI105" i="1"/>
  <c r="AH81" i="1"/>
  <c r="AI81" i="1"/>
  <c r="AD22" i="1"/>
  <c r="AE22" i="1"/>
  <c r="AD86" i="1"/>
  <c r="AE86" i="1"/>
  <c r="AD106" i="1"/>
  <c r="AE106" i="1"/>
  <c r="AH10" i="1"/>
  <c r="AI10" i="1"/>
  <c r="AH39" i="1"/>
  <c r="AI39" i="1"/>
  <c r="AD89" i="1"/>
  <c r="AJ89" i="1" s="1"/>
  <c r="AL89" i="1" s="1"/>
  <c r="AE89" i="1"/>
  <c r="AD79" i="1"/>
  <c r="AE79" i="1"/>
  <c r="AD25" i="1"/>
  <c r="AE25" i="1"/>
  <c r="AH42" i="1"/>
  <c r="AI42" i="1"/>
  <c r="AH71" i="1"/>
  <c r="AI71" i="1"/>
  <c r="AD13" i="1"/>
  <c r="AD7" i="1"/>
  <c r="AE7" i="1"/>
  <c r="AH27" i="1"/>
  <c r="AI27" i="1"/>
  <c r="AK27" i="1" s="1"/>
  <c r="AL27" i="1" s="1"/>
  <c r="AD48" i="1"/>
  <c r="AE48" i="1"/>
  <c r="AH79" i="1"/>
  <c r="AI79" i="1"/>
  <c r="AC2" i="1"/>
  <c r="AD11" i="1"/>
  <c r="AE11" i="1"/>
  <c r="AC55" i="1"/>
  <c r="AD35" i="1"/>
  <c r="AE35" i="1"/>
  <c r="AD51" i="1"/>
  <c r="AJ51" i="1" s="1"/>
  <c r="AL51" i="1" s="1"/>
  <c r="AE51" i="1"/>
  <c r="AD101" i="1"/>
  <c r="AJ101" i="1" s="1"/>
  <c r="AL101" i="1" s="1"/>
  <c r="AE101" i="1"/>
  <c r="AC17" i="1"/>
  <c r="AH46" i="1"/>
  <c r="AI46" i="1"/>
  <c r="AK46" i="1" s="1"/>
  <c r="AL46" i="1" s="1"/>
  <c r="AD59" i="1"/>
  <c r="AJ59" i="1" s="1"/>
  <c r="AL59" i="1" s="1"/>
  <c r="AE59" i="1"/>
  <c r="AD30" i="1"/>
  <c r="AE30" i="1"/>
  <c r="AG24" i="1"/>
  <c r="AC47" i="1"/>
  <c r="AG28" i="1"/>
  <c r="AC28" i="1"/>
  <c r="AG7" i="1"/>
  <c r="AG60" i="1"/>
  <c r="AC60" i="1"/>
  <c r="AC3" i="1"/>
  <c r="AG50" i="1"/>
  <c r="AG68" i="1"/>
  <c r="AC68" i="1"/>
  <c r="AG100" i="1"/>
  <c r="AC100" i="1"/>
  <c r="AC10" i="1"/>
  <c r="AC72" i="1"/>
  <c r="AG82" i="1"/>
  <c r="AC53" i="1"/>
  <c r="AC64" i="1"/>
  <c r="AG4" i="1"/>
  <c r="AC4" i="1"/>
  <c r="AG36" i="1"/>
  <c r="AC36" i="1"/>
  <c r="AG21" i="1"/>
  <c r="AC42" i="1"/>
  <c r="AC74" i="1"/>
  <c r="AG33" i="1"/>
  <c r="AG48" i="1"/>
  <c r="AC104" i="1"/>
  <c r="AC23" i="1"/>
  <c r="AC88" i="1"/>
  <c r="AG31" i="1"/>
  <c r="AG2" i="1"/>
  <c r="AC15" i="1"/>
  <c r="AC80" i="1"/>
  <c r="AG12" i="1"/>
  <c r="AC12" i="1"/>
  <c r="AG44" i="1"/>
  <c r="AC44" i="1"/>
  <c r="AG76" i="1"/>
  <c r="AC76" i="1"/>
  <c r="AG26" i="1"/>
  <c r="AC34" i="1"/>
  <c r="AG9" i="1"/>
  <c r="AG41" i="1"/>
  <c r="AG92" i="1"/>
  <c r="AC92" i="1"/>
  <c r="AG84" i="1"/>
  <c r="AC84" i="1"/>
  <c r="AC39" i="1"/>
  <c r="AG20" i="1"/>
  <c r="AC20" i="1"/>
  <c r="AG52" i="1"/>
  <c r="AC52" i="1"/>
  <c r="AD76" i="6" l="1"/>
  <c r="AE45" i="6"/>
  <c r="AI78" i="6"/>
  <c r="AD74" i="6"/>
  <c r="AI37" i="6"/>
  <c r="AH45" i="6"/>
  <c r="AD6" i="6"/>
  <c r="AK27" i="6"/>
  <c r="AL27" i="6" s="1"/>
  <c r="AO27" i="6" s="1"/>
  <c r="AD13" i="6"/>
  <c r="AD100" i="6"/>
  <c r="AK52" i="5"/>
  <c r="AL52" i="5" s="1"/>
  <c r="AO52" i="5" s="1"/>
  <c r="AK48" i="5"/>
  <c r="AL48" i="5" s="1"/>
  <c r="AO48" i="5" s="1"/>
  <c r="AK46" i="5"/>
  <c r="AL46" i="5" s="1"/>
  <c r="AO46" i="5" s="1"/>
  <c r="AH46" i="5"/>
  <c r="AD44" i="5"/>
  <c r="AE40" i="5"/>
  <c r="AI40" i="5"/>
  <c r="AE36" i="5"/>
  <c r="AK36" i="5" s="1"/>
  <c r="AL36" i="5" s="1"/>
  <c r="AO36" i="5" s="1"/>
  <c r="AE24" i="5"/>
  <c r="AK19" i="5"/>
  <c r="AL19" i="5" s="1"/>
  <c r="AO19" i="5" s="1"/>
  <c r="AE11" i="5"/>
  <c r="AK11" i="5" s="1"/>
  <c r="AL11" i="5" s="1"/>
  <c r="AO11" i="5" s="1"/>
  <c r="AD28" i="5"/>
  <c r="AK60" i="5"/>
  <c r="AL60" i="5" s="1"/>
  <c r="AO60" i="5" s="1"/>
  <c r="AE64" i="5"/>
  <c r="AE96" i="5"/>
  <c r="AE32" i="5"/>
  <c r="AK32" i="5" s="1"/>
  <c r="AL32" i="5" s="1"/>
  <c r="AO32" i="5" s="1"/>
  <c r="AD7" i="5"/>
  <c r="AD9" i="6"/>
  <c r="AE9" i="6"/>
  <c r="AK9" i="6" s="1"/>
  <c r="AL9" i="6" s="1"/>
  <c r="AO9" i="6" s="1"/>
  <c r="AD15" i="5"/>
  <c r="AH74" i="5"/>
  <c r="AK54" i="5"/>
  <c r="AL54" i="5" s="1"/>
  <c r="AO54" i="5" s="1"/>
  <c r="AE106" i="6"/>
  <c r="AD35" i="6"/>
  <c r="AK3" i="5"/>
  <c r="AL3" i="5" s="1"/>
  <c r="AO3" i="5" s="1"/>
  <c r="AK70" i="5"/>
  <c r="AL70" i="5" s="1"/>
  <c r="AO70" i="5" s="1"/>
  <c r="AD17" i="5"/>
  <c r="AD19" i="5"/>
  <c r="AE92" i="6"/>
  <c r="AK11" i="6"/>
  <c r="AL11" i="6" s="1"/>
  <c r="AO11" i="6" s="1"/>
  <c r="AI92" i="6"/>
  <c r="AH35" i="6"/>
  <c r="AJ103" i="5"/>
  <c r="AL103" i="5" s="1"/>
  <c r="AO103" i="5" s="1"/>
  <c r="AH8" i="5"/>
  <c r="AD83" i="6"/>
  <c r="AJ83" i="6" s="1"/>
  <c r="AL83" i="6" s="1"/>
  <c r="AO83" i="6" s="1"/>
  <c r="AE83" i="6"/>
  <c r="AH101" i="6"/>
  <c r="AH94" i="6"/>
  <c r="AH93" i="6"/>
  <c r="AK86" i="6"/>
  <c r="AL86" i="6" s="1"/>
  <c r="AO86" i="6" s="1"/>
  <c r="AD43" i="6"/>
  <c r="AJ43" i="6" s="1"/>
  <c r="AL43" i="6" s="1"/>
  <c r="AO43" i="6" s="1"/>
  <c r="AE2" i="6"/>
  <c r="AH59" i="6"/>
  <c r="AJ59" i="6" s="1"/>
  <c r="AL59" i="6" s="1"/>
  <c r="AO59" i="6" s="1"/>
  <c r="AE14" i="6"/>
  <c r="AK14" i="6" s="1"/>
  <c r="AL14" i="6" s="1"/>
  <c r="AO14" i="6" s="1"/>
  <c r="AI89" i="6"/>
  <c r="AD56" i="6"/>
  <c r="AD10" i="6"/>
  <c r="AD99" i="6"/>
  <c r="AJ99" i="6" s="1"/>
  <c r="AL99" i="6" s="1"/>
  <c r="AO99" i="6" s="1"/>
  <c r="AK13" i="6"/>
  <c r="AL13" i="6" s="1"/>
  <c r="AO13" i="6" s="1"/>
  <c r="AH71" i="6"/>
  <c r="AE69" i="6"/>
  <c r="AI69" i="6"/>
  <c r="AE63" i="6"/>
  <c r="AE57" i="6"/>
  <c r="AI81" i="6"/>
  <c r="AI61" i="6"/>
  <c r="AD65" i="6"/>
  <c r="AJ65" i="6" s="1"/>
  <c r="AL65" i="6" s="1"/>
  <c r="AO65" i="6" s="1"/>
  <c r="AI65" i="6"/>
  <c r="AE55" i="6"/>
  <c r="AI31" i="6"/>
  <c r="AE105" i="6"/>
  <c r="AJ69" i="6"/>
  <c r="AL69" i="6" s="1"/>
  <c r="AO69" i="6" s="1"/>
  <c r="AI8" i="6"/>
  <c r="AK4" i="6"/>
  <c r="AL4" i="6" s="1"/>
  <c r="AO4" i="6" s="1"/>
  <c r="AE20" i="6"/>
  <c r="AK20" i="6" s="1"/>
  <c r="AL20" i="6" s="1"/>
  <c r="AO20" i="6" s="1"/>
  <c r="AJ55" i="6"/>
  <c r="AL55" i="6" s="1"/>
  <c r="AO55" i="6" s="1"/>
  <c r="AK54" i="6"/>
  <c r="AL54" i="6" s="1"/>
  <c r="AO54" i="6" s="1"/>
  <c r="AI17" i="6"/>
  <c r="AK17" i="6" s="1"/>
  <c r="AL17" i="6" s="1"/>
  <c r="AO17" i="6" s="1"/>
  <c r="AH17" i="6"/>
  <c r="AJ39" i="6"/>
  <c r="AL39" i="6" s="1"/>
  <c r="AO39" i="6" s="1"/>
  <c r="AE28" i="6"/>
  <c r="AJ37" i="6"/>
  <c r="AL37" i="6" s="1"/>
  <c r="AO37" i="6" s="1"/>
  <c r="AJ57" i="6"/>
  <c r="AL57" i="6" s="1"/>
  <c r="AO57" i="6" s="1"/>
  <c r="AK5" i="6"/>
  <c r="AL5" i="6" s="1"/>
  <c r="AO5" i="6" s="1"/>
  <c r="AH54" i="6"/>
  <c r="AH103" i="6"/>
  <c r="AJ103" i="6" s="1"/>
  <c r="AL103" i="6" s="1"/>
  <c r="AO103" i="6" s="1"/>
  <c r="AI103" i="6"/>
  <c r="AH41" i="6"/>
  <c r="AI49" i="6"/>
  <c r="AI67" i="6"/>
  <c r="AH105" i="6"/>
  <c r="AJ105" i="6" s="1"/>
  <c r="AL105" i="6" s="1"/>
  <c r="AO105" i="6" s="1"/>
  <c r="AD81" i="6"/>
  <c r="AK56" i="6"/>
  <c r="AL56" i="6" s="1"/>
  <c r="AO56" i="6" s="1"/>
  <c r="AJ53" i="6"/>
  <c r="AL53" i="6" s="1"/>
  <c r="AO53" i="6" s="1"/>
  <c r="AE53" i="6"/>
  <c r="AJ61" i="6"/>
  <c r="AL61" i="6" s="1"/>
  <c r="AO61" i="6" s="1"/>
  <c r="AE18" i="6"/>
  <c r="AK18" i="6" s="1"/>
  <c r="AL18" i="6" s="1"/>
  <c r="AO18" i="6" s="1"/>
  <c r="AI82" i="6"/>
  <c r="AK82" i="6" s="1"/>
  <c r="AL82" i="6" s="1"/>
  <c r="AO82" i="6" s="1"/>
  <c r="AJ35" i="6"/>
  <c r="AL35" i="6" s="1"/>
  <c r="AO35" i="6" s="1"/>
  <c r="AE96" i="6"/>
  <c r="AK96" i="6" s="1"/>
  <c r="AL96" i="6" s="1"/>
  <c r="AO96" i="6" s="1"/>
  <c r="AJ63" i="6"/>
  <c r="AL63" i="6" s="1"/>
  <c r="AO63" i="6" s="1"/>
  <c r="AJ67" i="6"/>
  <c r="AL67" i="6" s="1"/>
  <c r="AO67" i="6" s="1"/>
  <c r="AK78" i="6"/>
  <c r="AL78" i="6" s="1"/>
  <c r="AO78" i="6" s="1"/>
  <c r="AJ33" i="6"/>
  <c r="AL33" i="6" s="1"/>
  <c r="AO33" i="6" s="1"/>
  <c r="AK29" i="6"/>
  <c r="AL29" i="6" s="1"/>
  <c r="AO29" i="6" s="1"/>
  <c r="AK22" i="6"/>
  <c r="AL22" i="6" s="1"/>
  <c r="AO22" i="6" s="1"/>
  <c r="AK10" i="6"/>
  <c r="AL10" i="6" s="1"/>
  <c r="AO10" i="6" s="1"/>
  <c r="AK12" i="6"/>
  <c r="AL12" i="6" s="1"/>
  <c r="AO12" i="6" s="1"/>
  <c r="AK80" i="6"/>
  <c r="AL80" i="6" s="1"/>
  <c r="AO80" i="6" s="1"/>
  <c r="AK100" i="6"/>
  <c r="AL100" i="6" s="1"/>
  <c r="AO100" i="6" s="1"/>
  <c r="AJ89" i="6"/>
  <c r="AL89" i="6" s="1"/>
  <c r="AO89" i="6" s="1"/>
  <c r="AJ93" i="6"/>
  <c r="AL93" i="6" s="1"/>
  <c r="AO93" i="6" s="1"/>
  <c r="AK106" i="6"/>
  <c r="AL106" i="6" s="1"/>
  <c r="AO106" i="6" s="1"/>
  <c r="AE52" i="6"/>
  <c r="AD52" i="6"/>
  <c r="AE31" i="6"/>
  <c r="AD31" i="6"/>
  <c r="AJ31" i="6" s="1"/>
  <c r="AL31" i="6" s="1"/>
  <c r="AO31" i="6" s="1"/>
  <c r="AH84" i="6"/>
  <c r="AI84" i="6"/>
  <c r="AK84" i="6" s="1"/>
  <c r="AL84" i="6" s="1"/>
  <c r="AO84" i="6" s="1"/>
  <c r="AI68" i="6"/>
  <c r="AH68" i="6"/>
  <c r="AE68" i="6"/>
  <c r="AD68" i="6"/>
  <c r="AI30" i="6"/>
  <c r="AH30" i="6"/>
  <c r="AJ101" i="6"/>
  <c r="AL101" i="6" s="1"/>
  <c r="AO101" i="6" s="1"/>
  <c r="AE44" i="6"/>
  <c r="AK44" i="6" s="1"/>
  <c r="AL44" i="6" s="1"/>
  <c r="AO44" i="6" s="1"/>
  <c r="AD44" i="6"/>
  <c r="AI66" i="6"/>
  <c r="AH66" i="6"/>
  <c r="AE58" i="6"/>
  <c r="AK58" i="6" s="1"/>
  <c r="AL58" i="6" s="1"/>
  <c r="AO58" i="6" s="1"/>
  <c r="AD58" i="6"/>
  <c r="AI60" i="6"/>
  <c r="AH60" i="6"/>
  <c r="AI70" i="6"/>
  <c r="AH70" i="6"/>
  <c r="AE75" i="6"/>
  <c r="AD75" i="6"/>
  <c r="AJ75" i="6" s="1"/>
  <c r="AL75" i="6" s="1"/>
  <c r="AO75" i="6" s="1"/>
  <c r="AH98" i="6"/>
  <c r="AI98" i="6"/>
  <c r="AI64" i="6"/>
  <c r="AK64" i="6" s="1"/>
  <c r="AL64" i="6" s="1"/>
  <c r="AO64" i="6" s="1"/>
  <c r="AH64" i="6"/>
  <c r="AH90" i="6"/>
  <c r="AI90" i="6"/>
  <c r="AK90" i="6" s="1"/>
  <c r="AL90" i="6" s="1"/>
  <c r="AO90" i="6" s="1"/>
  <c r="AD104" i="6"/>
  <c r="AE104" i="6"/>
  <c r="AK104" i="6" s="1"/>
  <c r="AL104" i="6" s="1"/>
  <c r="AO104" i="6" s="1"/>
  <c r="AE30" i="6"/>
  <c r="AD30" i="6"/>
  <c r="AI97" i="6"/>
  <c r="AH97" i="6"/>
  <c r="AJ97" i="6" s="1"/>
  <c r="AL97" i="6" s="1"/>
  <c r="AO97" i="6" s="1"/>
  <c r="AJ85" i="6"/>
  <c r="AL85" i="6" s="1"/>
  <c r="AO85" i="6" s="1"/>
  <c r="AI42" i="6"/>
  <c r="AK42" i="6" s="1"/>
  <c r="AL42" i="6" s="1"/>
  <c r="AO42" i="6" s="1"/>
  <c r="AH42" i="6"/>
  <c r="AD24" i="6"/>
  <c r="AE24" i="6"/>
  <c r="AK24" i="6" s="1"/>
  <c r="AL24" i="6" s="1"/>
  <c r="AO24" i="6" s="1"/>
  <c r="AE77" i="6"/>
  <c r="AD77" i="6"/>
  <c r="AJ77" i="6" s="1"/>
  <c r="AL77" i="6" s="1"/>
  <c r="AO77" i="6" s="1"/>
  <c r="AE48" i="6"/>
  <c r="AK48" i="6" s="1"/>
  <c r="AL48" i="6" s="1"/>
  <c r="AO48" i="6" s="1"/>
  <c r="AD48" i="6"/>
  <c r="AI32" i="6"/>
  <c r="AK32" i="6" s="1"/>
  <c r="AL32" i="6" s="1"/>
  <c r="AO32" i="6" s="1"/>
  <c r="AH32" i="6"/>
  <c r="AI50" i="6"/>
  <c r="AK50" i="6" s="1"/>
  <c r="AL50" i="6" s="1"/>
  <c r="AO50" i="6" s="1"/>
  <c r="AH50" i="6"/>
  <c r="AI79" i="6"/>
  <c r="AH79" i="6"/>
  <c r="AJ79" i="6" s="1"/>
  <c r="AL79" i="6" s="1"/>
  <c r="AO79" i="6" s="1"/>
  <c r="AI46" i="6"/>
  <c r="AH46" i="6"/>
  <c r="AD8" i="6"/>
  <c r="AE8" i="6"/>
  <c r="AK8" i="6" s="1"/>
  <c r="AL8" i="6" s="1"/>
  <c r="AO8" i="6" s="1"/>
  <c r="AI72" i="6"/>
  <c r="AK72" i="6" s="1"/>
  <c r="AL72" i="6" s="1"/>
  <c r="AO72" i="6" s="1"/>
  <c r="AH72" i="6"/>
  <c r="AJ87" i="6"/>
  <c r="AL87" i="6" s="1"/>
  <c r="AO87" i="6" s="1"/>
  <c r="AD98" i="6"/>
  <c r="AE98" i="6"/>
  <c r="AI73" i="6"/>
  <c r="AH73" i="6"/>
  <c r="AJ73" i="6" s="1"/>
  <c r="AL73" i="6" s="1"/>
  <c r="AO73" i="6" s="1"/>
  <c r="AI52" i="6"/>
  <c r="AH52" i="6"/>
  <c r="AE71" i="6"/>
  <c r="AD71" i="6"/>
  <c r="AJ71" i="6" s="1"/>
  <c r="AL71" i="6" s="1"/>
  <c r="AO71" i="6" s="1"/>
  <c r="AE41" i="6"/>
  <c r="AD41" i="6"/>
  <c r="AJ41" i="6" s="1"/>
  <c r="AL41" i="6" s="1"/>
  <c r="AO41" i="6" s="1"/>
  <c r="AK6" i="6"/>
  <c r="AL6" i="6" s="1"/>
  <c r="AO6" i="6" s="1"/>
  <c r="AE36" i="6"/>
  <c r="AD36" i="6"/>
  <c r="AK28" i="6"/>
  <c r="AL28" i="6" s="1"/>
  <c r="AO28" i="6" s="1"/>
  <c r="AK2" i="6"/>
  <c r="AL2" i="6" s="1"/>
  <c r="AO2" i="6" s="1"/>
  <c r="AK26" i="6"/>
  <c r="AL26" i="6" s="1"/>
  <c r="AO26" i="6" s="1"/>
  <c r="AJ81" i="6"/>
  <c r="AL81" i="6" s="1"/>
  <c r="AO81" i="6" s="1"/>
  <c r="AE38" i="6"/>
  <c r="AD38" i="6"/>
  <c r="AD51" i="6"/>
  <c r="AJ51" i="6" s="1"/>
  <c r="AL51" i="6" s="1"/>
  <c r="AO51" i="6" s="1"/>
  <c r="AE51" i="6"/>
  <c r="AE66" i="6"/>
  <c r="AD66" i="6"/>
  <c r="AD94" i="6"/>
  <c r="AE94" i="6"/>
  <c r="AK94" i="6" s="1"/>
  <c r="AL94" i="6" s="1"/>
  <c r="AO94" i="6" s="1"/>
  <c r="AK76" i="6"/>
  <c r="AL76" i="6" s="1"/>
  <c r="AO76" i="6" s="1"/>
  <c r="AE70" i="6"/>
  <c r="AD70" i="6"/>
  <c r="AI36" i="6"/>
  <c r="AH36" i="6"/>
  <c r="AI34" i="6"/>
  <c r="AK34" i="6" s="1"/>
  <c r="AL34" i="6" s="1"/>
  <c r="AO34" i="6" s="1"/>
  <c r="AH34" i="6"/>
  <c r="AI38" i="6"/>
  <c r="AH38" i="6"/>
  <c r="AJ45" i="6"/>
  <c r="AL45" i="6" s="1"/>
  <c r="AO45" i="6" s="1"/>
  <c r="AE46" i="6"/>
  <c r="AD46" i="6"/>
  <c r="AD16" i="6"/>
  <c r="AE16" i="6"/>
  <c r="AK16" i="6" s="1"/>
  <c r="AL16" i="6" s="1"/>
  <c r="AO16" i="6" s="1"/>
  <c r="AH88" i="6"/>
  <c r="AI88" i="6"/>
  <c r="AE47" i="6"/>
  <c r="AD47" i="6"/>
  <c r="AJ47" i="6" s="1"/>
  <c r="AL47" i="6" s="1"/>
  <c r="AO47" i="6" s="1"/>
  <c r="AH102" i="6"/>
  <c r="AI102" i="6"/>
  <c r="AD102" i="6"/>
  <c r="AE102" i="6"/>
  <c r="AI40" i="6"/>
  <c r="AK40" i="6" s="1"/>
  <c r="AL40" i="6" s="1"/>
  <c r="AO40" i="6" s="1"/>
  <c r="AH40" i="6"/>
  <c r="AI62" i="6"/>
  <c r="AK62" i="6" s="1"/>
  <c r="AL62" i="6" s="1"/>
  <c r="AO62" i="6" s="1"/>
  <c r="AH62" i="6"/>
  <c r="AH74" i="6"/>
  <c r="AI74" i="6"/>
  <c r="AK74" i="6" s="1"/>
  <c r="AL74" i="6" s="1"/>
  <c r="AO74" i="6" s="1"/>
  <c r="AE49" i="6"/>
  <c r="AD49" i="6"/>
  <c r="AJ49" i="6" s="1"/>
  <c r="AL49" i="6" s="1"/>
  <c r="AO49" i="6" s="1"/>
  <c r="AE60" i="6"/>
  <c r="AD60" i="6"/>
  <c r="AD88" i="6"/>
  <c r="AE88" i="6"/>
  <c r="AH31" i="5"/>
  <c r="AD54" i="5"/>
  <c r="AE106" i="5"/>
  <c r="AK106" i="5" s="1"/>
  <c r="AL106" i="5" s="1"/>
  <c r="AO106" i="5" s="1"/>
  <c r="AK50" i="5"/>
  <c r="AL50" i="5" s="1"/>
  <c r="AO50" i="5" s="1"/>
  <c r="AK62" i="5"/>
  <c r="AL62" i="5" s="1"/>
  <c r="AO62" i="5" s="1"/>
  <c r="AH45" i="5"/>
  <c r="AD101" i="5"/>
  <c r="AJ101" i="5" s="1"/>
  <c r="AL101" i="5" s="1"/>
  <c r="AO101" i="5" s="1"/>
  <c r="AJ45" i="5"/>
  <c r="AL45" i="5" s="1"/>
  <c r="AO45" i="5" s="1"/>
  <c r="AJ83" i="5"/>
  <c r="AL83" i="5" s="1"/>
  <c r="AO83" i="5" s="1"/>
  <c r="AJ99" i="5"/>
  <c r="AL99" i="5" s="1"/>
  <c r="AO99" i="5" s="1"/>
  <c r="AK74" i="5"/>
  <c r="AL74" i="5" s="1"/>
  <c r="AO74" i="5" s="1"/>
  <c r="AJ105" i="5"/>
  <c r="AL105" i="5" s="1"/>
  <c r="AO105" i="5" s="1"/>
  <c r="AK66" i="5"/>
  <c r="AL66" i="5" s="1"/>
  <c r="AO66" i="5" s="1"/>
  <c r="AK56" i="5"/>
  <c r="AL56" i="5" s="1"/>
  <c r="AO56" i="5" s="1"/>
  <c r="AJ97" i="5"/>
  <c r="AL97" i="5" s="1"/>
  <c r="AO97" i="5" s="1"/>
  <c r="AJ31" i="5"/>
  <c r="AL31" i="5" s="1"/>
  <c r="AO31" i="5" s="1"/>
  <c r="AI76" i="5"/>
  <c r="AK76" i="5" s="1"/>
  <c r="AL76" i="5" s="1"/>
  <c r="AO76" i="5" s="1"/>
  <c r="AJ79" i="5"/>
  <c r="AL79" i="5" s="1"/>
  <c r="AO79" i="5" s="1"/>
  <c r="AH17" i="5"/>
  <c r="AI10" i="5"/>
  <c r="AH37" i="5"/>
  <c r="AK17" i="5"/>
  <c r="AL17" i="5" s="1"/>
  <c r="AO17" i="5" s="1"/>
  <c r="AJ41" i="5"/>
  <c r="AL41" i="5" s="1"/>
  <c r="AO41" i="5" s="1"/>
  <c r="AK58" i="5"/>
  <c r="AL58" i="5" s="1"/>
  <c r="AO58" i="5" s="1"/>
  <c r="AJ37" i="5"/>
  <c r="AL37" i="5" s="1"/>
  <c r="AO37" i="5" s="1"/>
  <c r="AJ33" i="5"/>
  <c r="AL33" i="5" s="1"/>
  <c r="AO33" i="5" s="1"/>
  <c r="AJ77" i="5"/>
  <c r="AL77" i="5" s="1"/>
  <c r="AO77" i="5" s="1"/>
  <c r="AD22" i="5"/>
  <c r="AE22" i="5"/>
  <c r="AK22" i="5" s="1"/>
  <c r="AL22" i="5" s="1"/>
  <c r="AO22" i="5" s="1"/>
  <c r="AD55" i="5"/>
  <c r="AJ55" i="5" s="1"/>
  <c r="AL55" i="5" s="1"/>
  <c r="AO55" i="5" s="1"/>
  <c r="AE55" i="5"/>
  <c r="AI29" i="5"/>
  <c r="AK29" i="5" s="1"/>
  <c r="AL29" i="5" s="1"/>
  <c r="AO29" i="5" s="1"/>
  <c r="AH29" i="5"/>
  <c r="AH82" i="5"/>
  <c r="AI82" i="5"/>
  <c r="AH4" i="5"/>
  <c r="AI4" i="5"/>
  <c r="AK4" i="5" s="1"/>
  <c r="AL4" i="5" s="1"/>
  <c r="AO4" i="5" s="1"/>
  <c r="AH57" i="5"/>
  <c r="AI57" i="5"/>
  <c r="AH98" i="5"/>
  <c r="AI98" i="5"/>
  <c r="AK98" i="5" s="1"/>
  <c r="AL98" i="5" s="1"/>
  <c r="AO98" i="5" s="1"/>
  <c r="AJ57" i="5"/>
  <c r="AL57" i="5" s="1"/>
  <c r="AO57" i="5" s="1"/>
  <c r="AH47" i="5"/>
  <c r="AI47" i="5"/>
  <c r="AD59" i="5"/>
  <c r="AJ59" i="5" s="1"/>
  <c r="AL59" i="5" s="1"/>
  <c r="AO59" i="5" s="1"/>
  <c r="AE59" i="5"/>
  <c r="AI21" i="5"/>
  <c r="AK21" i="5" s="1"/>
  <c r="AL21" i="5" s="1"/>
  <c r="AO21" i="5" s="1"/>
  <c r="AH21" i="5"/>
  <c r="AE75" i="5"/>
  <c r="AD75" i="5"/>
  <c r="AJ75" i="5" s="1"/>
  <c r="AL75" i="5" s="1"/>
  <c r="AO75" i="5" s="1"/>
  <c r="AK24" i="5"/>
  <c r="AL24" i="5" s="1"/>
  <c r="AO24" i="5" s="1"/>
  <c r="AI65" i="5"/>
  <c r="AH65" i="5"/>
  <c r="AJ65" i="5" s="1"/>
  <c r="AL65" i="5" s="1"/>
  <c r="AO65" i="5" s="1"/>
  <c r="AH53" i="5"/>
  <c r="AJ53" i="5" s="1"/>
  <c r="AL53" i="5" s="1"/>
  <c r="AO53" i="5" s="1"/>
  <c r="AI53" i="5"/>
  <c r="AJ39" i="5"/>
  <c r="AL39" i="5" s="1"/>
  <c r="AO39" i="5" s="1"/>
  <c r="AD82" i="5"/>
  <c r="AE82" i="5"/>
  <c r="AI71" i="5"/>
  <c r="AH71" i="5"/>
  <c r="AJ87" i="5"/>
  <c r="AL87" i="5" s="1"/>
  <c r="AO87" i="5" s="1"/>
  <c r="AI5" i="5"/>
  <c r="AH5" i="5"/>
  <c r="AE26" i="5"/>
  <c r="AD26" i="5"/>
  <c r="AD102" i="5"/>
  <c r="AE102" i="5"/>
  <c r="AK102" i="5" s="1"/>
  <c r="AL102" i="5" s="1"/>
  <c r="AO102" i="5" s="1"/>
  <c r="AJ85" i="5"/>
  <c r="AL85" i="5" s="1"/>
  <c r="AO85" i="5" s="1"/>
  <c r="AI13" i="5"/>
  <c r="AK13" i="5" s="1"/>
  <c r="AL13" i="5" s="1"/>
  <c r="AO13" i="5" s="1"/>
  <c r="AH13" i="5"/>
  <c r="AH20" i="5"/>
  <c r="AI20" i="5"/>
  <c r="AK20" i="5" s="1"/>
  <c r="AL20" i="5" s="1"/>
  <c r="AO20" i="5" s="1"/>
  <c r="AE8" i="5"/>
  <c r="AK8" i="5" s="1"/>
  <c r="AL8" i="5" s="1"/>
  <c r="AO8" i="5" s="1"/>
  <c r="AD8" i="5"/>
  <c r="AD94" i="5"/>
  <c r="AE94" i="5"/>
  <c r="AK94" i="5" s="1"/>
  <c r="AL94" i="5" s="1"/>
  <c r="AO94" i="5" s="1"/>
  <c r="AD80" i="5"/>
  <c r="AE80" i="5"/>
  <c r="AK80" i="5" s="1"/>
  <c r="AL80" i="5" s="1"/>
  <c r="AO80" i="5" s="1"/>
  <c r="AJ47" i="5"/>
  <c r="AL47" i="5" s="1"/>
  <c r="AO47" i="5" s="1"/>
  <c r="AK15" i="5"/>
  <c r="AL15" i="5" s="1"/>
  <c r="AO15" i="5" s="1"/>
  <c r="AH6" i="5"/>
  <c r="AI6" i="5"/>
  <c r="AK6" i="5" s="1"/>
  <c r="AL6" i="5" s="1"/>
  <c r="AO6" i="5" s="1"/>
  <c r="AI30" i="5"/>
  <c r="AH30" i="5"/>
  <c r="AH100" i="5"/>
  <c r="AI100" i="5"/>
  <c r="AK100" i="5" s="1"/>
  <c r="AL100" i="5" s="1"/>
  <c r="AO100" i="5" s="1"/>
  <c r="AJ89" i="5"/>
  <c r="AL89" i="5" s="1"/>
  <c r="AO89" i="5" s="1"/>
  <c r="AH49" i="5"/>
  <c r="AI49" i="5"/>
  <c r="AI23" i="5"/>
  <c r="AK23" i="5" s="1"/>
  <c r="AL23" i="5" s="1"/>
  <c r="AO23" i="5" s="1"/>
  <c r="AH23" i="5"/>
  <c r="AE30" i="5"/>
  <c r="AD30" i="5"/>
  <c r="AE81" i="5"/>
  <c r="AD81" i="5"/>
  <c r="AJ81" i="5" s="1"/>
  <c r="AL81" i="5" s="1"/>
  <c r="AO81" i="5" s="1"/>
  <c r="AH61" i="5"/>
  <c r="AI61" i="5"/>
  <c r="AD14" i="5"/>
  <c r="AE14" i="5"/>
  <c r="AK14" i="5" s="1"/>
  <c r="AL14" i="5" s="1"/>
  <c r="AO14" i="5" s="1"/>
  <c r="AH67" i="5"/>
  <c r="AJ67" i="5" s="1"/>
  <c r="AL67" i="5" s="1"/>
  <c r="AO67" i="5" s="1"/>
  <c r="AI67" i="5"/>
  <c r="AH78" i="5"/>
  <c r="AI78" i="5"/>
  <c r="AK78" i="5" s="1"/>
  <c r="AL78" i="5" s="1"/>
  <c r="AO78" i="5" s="1"/>
  <c r="AE71" i="5"/>
  <c r="AD71" i="5"/>
  <c r="AE34" i="5"/>
  <c r="AK34" i="5" s="1"/>
  <c r="AL34" i="5" s="1"/>
  <c r="AO34" i="5" s="1"/>
  <c r="AD34" i="5"/>
  <c r="AH18" i="5"/>
  <c r="AI18" i="5"/>
  <c r="AK18" i="5" s="1"/>
  <c r="AL18" i="5" s="1"/>
  <c r="AO18" i="5" s="1"/>
  <c r="AI26" i="5"/>
  <c r="AH26" i="5"/>
  <c r="AJ49" i="5"/>
  <c r="AL49" i="5" s="1"/>
  <c r="AO49" i="5" s="1"/>
  <c r="AD86" i="5"/>
  <c r="AE86" i="5"/>
  <c r="AE42" i="5"/>
  <c r="AK42" i="5" s="1"/>
  <c r="AL42" i="5" s="1"/>
  <c r="AO42" i="5" s="1"/>
  <c r="AD42" i="5"/>
  <c r="AD51" i="5"/>
  <c r="AJ51" i="5" s="1"/>
  <c r="AL51" i="5" s="1"/>
  <c r="AO51" i="5" s="1"/>
  <c r="AE51" i="5"/>
  <c r="AE16" i="5"/>
  <c r="AK16" i="5" s="1"/>
  <c r="AL16" i="5" s="1"/>
  <c r="AO16" i="5" s="1"/>
  <c r="AD16" i="5"/>
  <c r="AD90" i="5"/>
  <c r="AE90" i="5"/>
  <c r="AK90" i="5" s="1"/>
  <c r="AL90" i="5" s="1"/>
  <c r="AO90" i="5" s="1"/>
  <c r="AH88" i="5"/>
  <c r="AI88" i="5"/>
  <c r="AK88" i="5" s="1"/>
  <c r="AL88" i="5" s="1"/>
  <c r="AO88" i="5" s="1"/>
  <c r="AJ91" i="5"/>
  <c r="AL91" i="5" s="1"/>
  <c r="AO91" i="5" s="1"/>
  <c r="AK28" i="5"/>
  <c r="AL28" i="5" s="1"/>
  <c r="AO28" i="5" s="1"/>
  <c r="AK44" i="5"/>
  <c r="AL44" i="5" s="1"/>
  <c r="AO44" i="5" s="1"/>
  <c r="AI38" i="5"/>
  <c r="AH38" i="5"/>
  <c r="AH92" i="5"/>
  <c r="AI92" i="5"/>
  <c r="AK92" i="5" s="1"/>
  <c r="AL92" i="5" s="1"/>
  <c r="AO92" i="5" s="1"/>
  <c r="AE5" i="5"/>
  <c r="AD5" i="5"/>
  <c r="AE38" i="5"/>
  <c r="AD38" i="5"/>
  <c r="AI104" i="5"/>
  <c r="AH104" i="5"/>
  <c r="AJ61" i="5"/>
  <c r="AL61" i="5" s="1"/>
  <c r="AO61" i="5" s="1"/>
  <c r="AH2" i="5"/>
  <c r="AI2" i="5"/>
  <c r="AJ43" i="5"/>
  <c r="AL43" i="5" s="1"/>
  <c r="AO43" i="5" s="1"/>
  <c r="AH96" i="5"/>
  <c r="AI96" i="5"/>
  <c r="AJ95" i="5"/>
  <c r="AL95" i="5" s="1"/>
  <c r="AO95" i="5" s="1"/>
  <c r="AH12" i="5"/>
  <c r="AI12" i="5"/>
  <c r="AK12" i="5" s="1"/>
  <c r="AL12" i="5" s="1"/>
  <c r="AO12" i="5" s="1"/>
  <c r="AD2" i="5"/>
  <c r="AE2" i="5"/>
  <c r="AI64" i="5"/>
  <c r="AK64" i="5" s="1"/>
  <c r="AL64" i="5" s="1"/>
  <c r="AO64" i="5" s="1"/>
  <c r="AH64" i="5"/>
  <c r="AI68" i="5"/>
  <c r="AK68" i="5" s="1"/>
  <c r="AL68" i="5" s="1"/>
  <c r="AO68" i="5" s="1"/>
  <c r="AH68" i="5"/>
  <c r="AH84" i="5"/>
  <c r="AI84" i="5"/>
  <c r="AK84" i="5" s="1"/>
  <c r="AL84" i="5" s="1"/>
  <c r="AO84" i="5" s="1"/>
  <c r="AE104" i="5"/>
  <c r="AD104" i="5"/>
  <c r="AE9" i="5"/>
  <c r="AK9" i="5" s="1"/>
  <c r="AL9" i="5" s="1"/>
  <c r="AO9" i="5" s="1"/>
  <c r="AD9" i="5"/>
  <c r="AI25" i="5"/>
  <c r="AK25" i="5" s="1"/>
  <c r="AL25" i="5" s="1"/>
  <c r="AO25" i="5" s="1"/>
  <c r="AH25" i="5"/>
  <c r="AD10" i="5"/>
  <c r="AE10" i="5"/>
  <c r="AD73" i="5"/>
  <c r="AJ73" i="5" s="1"/>
  <c r="AL73" i="5" s="1"/>
  <c r="AO73" i="5" s="1"/>
  <c r="AE73" i="5"/>
  <c r="AK7" i="5"/>
  <c r="AL7" i="5" s="1"/>
  <c r="AO7" i="5" s="1"/>
  <c r="AK98" i="1"/>
  <c r="AL98" i="1" s="1"/>
  <c r="AK90" i="1"/>
  <c r="AL90" i="1" s="1"/>
  <c r="AK54" i="1"/>
  <c r="AL54" i="1" s="1"/>
  <c r="AK62" i="1"/>
  <c r="AL62" i="1" s="1"/>
  <c r="AK19" i="1"/>
  <c r="AL19" i="1" s="1"/>
  <c r="AI104" i="1"/>
  <c r="AK70" i="1"/>
  <c r="AL70" i="1" s="1"/>
  <c r="AI30" i="1"/>
  <c r="AK30" i="1" s="1"/>
  <c r="AL30" i="1" s="1"/>
  <c r="AK106" i="1"/>
  <c r="AL106" i="1" s="1"/>
  <c r="AK38" i="1"/>
  <c r="AL38" i="1" s="1"/>
  <c r="AK6" i="1"/>
  <c r="AL6" i="1" s="1"/>
  <c r="AK78" i="1"/>
  <c r="AL78" i="1" s="1"/>
  <c r="AK11" i="1"/>
  <c r="AL11" i="1" s="1"/>
  <c r="AJ35" i="1"/>
  <c r="AL35" i="1" s="1"/>
  <c r="AJ103" i="1"/>
  <c r="AL103" i="1" s="1"/>
  <c r="AJ43" i="1"/>
  <c r="AL43" i="1" s="1"/>
  <c r="AK86" i="1"/>
  <c r="AL86" i="1" s="1"/>
  <c r="AJ79" i="1"/>
  <c r="AL79" i="1" s="1"/>
  <c r="AK22" i="1"/>
  <c r="AL22" i="1" s="1"/>
  <c r="AK102" i="1"/>
  <c r="AL102" i="1" s="1"/>
  <c r="AJ105" i="1"/>
  <c r="AL105" i="1" s="1"/>
  <c r="AI14" i="1"/>
  <c r="AK14" i="1" s="1"/>
  <c r="AL14" i="1" s="1"/>
  <c r="AJ71" i="1"/>
  <c r="AL71" i="1" s="1"/>
  <c r="AJ99" i="1"/>
  <c r="AL99" i="1" s="1"/>
  <c r="AK13" i="1"/>
  <c r="AL13" i="1" s="1"/>
  <c r="AI56" i="1"/>
  <c r="AI96" i="1"/>
  <c r="AJ67" i="1"/>
  <c r="AL67" i="1" s="1"/>
  <c r="AJ83" i="1"/>
  <c r="AL83" i="1" s="1"/>
  <c r="AJ81" i="1"/>
  <c r="AL81" i="1" s="1"/>
  <c r="AJ69" i="1"/>
  <c r="AL69" i="1" s="1"/>
  <c r="AJ75" i="1"/>
  <c r="AL75" i="1" s="1"/>
  <c r="AJ85" i="1"/>
  <c r="AL85" i="1" s="1"/>
  <c r="AK5" i="1"/>
  <c r="AL5" i="1" s="1"/>
  <c r="AJ73" i="1"/>
  <c r="AL73" i="1" s="1"/>
  <c r="AH50" i="1"/>
  <c r="AI50" i="1"/>
  <c r="AK50" i="1" s="1"/>
  <c r="AL50" i="1" s="1"/>
  <c r="AD74" i="1"/>
  <c r="AE74" i="1"/>
  <c r="AK74" i="1" s="1"/>
  <c r="AL74" i="1" s="1"/>
  <c r="AD84" i="1"/>
  <c r="AE84" i="1"/>
  <c r="AD72" i="1"/>
  <c r="AE72" i="1"/>
  <c r="AK72" i="1" s="1"/>
  <c r="AL72" i="1" s="1"/>
  <c r="AD88" i="1"/>
  <c r="AE88" i="1"/>
  <c r="AK88" i="1" s="1"/>
  <c r="AL88" i="1" s="1"/>
  <c r="AD10" i="1"/>
  <c r="AE10" i="1"/>
  <c r="AK10" i="1" s="1"/>
  <c r="AL10" i="1" s="1"/>
  <c r="AH60" i="1"/>
  <c r="AI60" i="1"/>
  <c r="AH16" i="1"/>
  <c r="AI16" i="1"/>
  <c r="AK16" i="1" s="1"/>
  <c r="AL16" i="1" s="1"/>
  <c r="AD37" i="1"/>
  <c r="AJ37" i="1" s="1"/>
  <c r="AL37" i="1" s="1"/>
  <c r="AE37" i="1"/>
  <c r="AD39" i="1"/>
  <c r="AJ39" i="1" s="1"/>
  <c r="AL39" i="1" s="1"/>
  <c r="AE39" i="1"/>
  <c r="AH24" i="1"/>
  <c r="AI24" i="1"/>
  <c r="AK24" i="1" s="1"/>
  <c r="AL24" i="1" s="1"/>
  <c r="AD76" i="1"/>
  <c r="AE76" i="1"/>
  <c r="AD3" i="1"/>
  <c r="AE3" i="1"/>
  <c r="AK3" i="1" s="1"/>
  <c r="AL3" i="1" s="1"/>
  <c r="AH31" i="1"/>
  <c r="AJ31" i="1" s="1"/>
  <c r="AL31" i="1" s="1"/>
  <c r="AI31" i="1"/>
  <c r="AD60" i="1"/>
  <c r="AE60" i="1"/>
  <c r="AD92" i="1"/>
  <c r="AE92" i="1"/>
  <c r="AD52" i="1"/>
  <c r="AE52" i="1"/>
  <c r="AH92" i="1"/>
  <c r="AI92" i="1"/>
  <c r="AH44" i="1"/>
  <c r="AI44" i="1"/>
  <c r="AD23" i="1"/>
  <c r="AE23" i="1"/>
  <c r="AK23" i="1" s="1"/>
  <c r="AL23" i="1" s="1"/>
  <c r="AH36" i="1"/>
  <c r="AI36" i="1"/>
  <c r="AD100" i="1"/>
  <c r="AE100" i="1"/>
  <c r="AH7" i="1"/>
  <c r="AI7" i="1"/>
  <c r="AK7" i="1" s="1"/>
  <c r="AL7" i="1" s="1"/>
  <c r="AD77" i="1"/>
  <c r="AJ77" i="1" s="1"/>
  <c r="AL77" i="1" s="1"/>
  <c r="AE77" i="1"/>
  <c r="AH93" i="1"/>
  <c r="AJ93" i="1" s="1"/>
  <c r="AL93" i="1" s="1"/>
  <c r="AI93" i="1"/>
  <c r="AD65" i="1"/>
  <c r="AJ65" i="1" s="1"/>
  <c r="AL65" i="1" s="1"/>
  <c r="AE65" i="1"/>
  <c r="AD49" i="1"/>
  <c r="AJ49" i="1" s="1"/>
  <c r="AL49" i="1" s="1"/>
  <c r="AE49" i="1"/>
  <c r="AD18" i="1"/>
  <c r="AE18" i="1"/>
  <c r="AK18" i="1" s="1"/>
  <c r="AL18" i="1" s="1"/>
  <c r="AD53" i="1"/>
  <c r="AJ53" i="1" s="1"/>
  <c r="AL53" i="1" s="1"/>
  <c r="AE53" i="1"/>
  <c r="AD42" i="1"/>
  <c r="AE42" i="1"/>
  <c r="AK42" i="1" s="1"/>
  <c r="AL42" i="1" s="1"/>
  <c r="AD56" i="1"/>
  <c r="AE56" i="1"/>
  <c r="AH76" i="1"/>
  <c r="AI76" i="1"/>
  <c r="AK76" i="1" s="1"/>
  <c r="AL76" i="1" s="1"/>
  <c r="AD58" i="1"/>
  <c r="AE58" i="1"/>
  <c r="AK58" i="1" s="1"/>
  <c r="AL58" i="1" s="1"/>
  <c r="AD36" i="1"/>
  <c r="AE36" i="1"/>
  <c r="AH52" i="1"/>
  <c r="AI52" i="1"/>
  <c r="AH41" i="1"/>
  <c r="AJ41" i="1" s="1"/>
  <c r="AL41" i="1" s="1"/>
  <c r="AI41" i="1"/>
  <c r="AD12" i="1"/>
  <c r="AE12" i="1"/>
  <c r="AD104" i="1"/>
  <c r="AE104" i="1"/>
  <c r="AD4" i="1"/>
  <c r="AE4" i="1"/>
  <c r="AH100" i="1"/>
  <c r="AI100" i="1"/>
  <c r="AK100" i="1" s="1"/>
  <c r="AL100" i="1" s="1"/>
  <c r="AD28" i="1"/>
  <c r="AE28" i="1"/>
  <c r="AD96" i="1"/>
  <c r="AE96" i="1"/>
  <c r="AD29" i="1"/>
  <c r="AE29" i="1"/>
  <c r="AK29" i="1" s="1"/>
  <c r="AL29" i="1" s="1"/>
  <c r="AH26" i="1"/>
  <c r="AI26" i="1"/>
  <c r="AK26" i="1" s="1"/>
  <c r="AL26" i="1" s="1"/>
  <c r="AH2" i="1"/>
  <c r="AI2" i="1"/>
  <c r="AH84" i="1"/>
  <c r="AI84" i="1"/>
  <c r="AK84" i="1" s="1"/>
  <c r="AL84" i="1" s="1"/>
  <c r="AD2" i="1"/>
  <c r="AE2" i="1"/>
  <c r="AD44" i="1"/>
  <c r="AE44" i="1"/>
  <c r="AD20" i="1"/>
  <c r="AE20" i="1"/>
  <c r="AH9" i="1"/>
  <c r="AI9" i="1"/>
  <c r="AK9" i="1" s="1"/>
  <c r="AL9" i="1" s="1"/>
  <c r="AH12" i="1"/>
  <c r="AI12" i="1"/>
  <c r="AH48" i="1"/>
  <c r="AI48" i="1"/>
  <c r="AK48" i="1" s="1"/>
  <c r="AL48" i="1" s="1"/>
  <c r="AH4" i="1"/>
  <c r="AI4" i="1"/>
  <c r="AK4" i="1" s="1"/>
  <c r="AL4" i="1" s="1"/>
  <c r="AD68" i="1"/>
  <c r="AE68" i="1"/>
  <c r="AH28" i="1"/>
  <c r="AI28" i="1"/>
  <c r="AD55" i="1"/>
  <c r="AJ55" i="1" s="1"/>
  <c r="AL55" i="1" s="1"/>
  <c r="AE55" i="1"/>
  <c r="AH95" i="1"/>
  <c r="AJ95" i="1" s="1"/>
  <c r="AL95" i="1" s="1"/>
  <c r="AI95" i="1"/>
  <c r="AD15" i="1"/>
  <c r="AE15" i="1"/>
  <c r="AK15" i="1" s="1"/>
  <c r="AL15" i="1" s="1"/>
  <c r="AH82" i="1"/>
  <c r="AI82" i="1"/>
  <c r="AK82" i="1" s="1"/>
  <c r="AL82" i="1" s="1"/>
  <c r="AH21" i="1"/>
  <c r="AI21" i="1"/>
  <c r="AK21" i="1" s="1"/>
  <c r="AL21" i="1" s="1"/>
  <c r="AH25" i="1"/>
  <c r="AI25" i="1"/>
  <c r="AK25" i="1" s="1"/>
  <c r="AL25" i="1" s="1"/>
  <c r="AH20" i="1"/>
  <c r="AI20" i="1"/>
  <c r="AD34" i="1"/>
  <c r="AE34" i="1"/>
  <c r="AK34" i="1" s="1"/>
  <c r="AL34" i="1" s="1"/>
  <c r="AD80" i="1"/>
  <c r="AE80" i="1"/>
  <c r="AK80" i="1" s="1"/>
  <c r="AL80" i="1" s="1"/>
  <c r="AH33" i="1"/>
  <c r="AJ33" i="1" s="1"/>
  <c r="AL33" i="1" s="1"/>
  <c r="AI33" i="1"/>
  <c r="AD64" i="1"/>
  <c r="AE64" i="1"/>
  <c r="AK64" i="1" s="1"/>
  <c r="AL64" i="1" s="1"/>
  <c r="AH68" i="1"/>
  <c r="AI68" i="1"/>
  <c r="AD47" i="1"/>
  <c r="AJ47" i="1" s="1"/>
  <c r="AL47" i="1" s="1"/>
  <c r="AE47" i="1"/>
  <c r="AD17" i="1"/>
  <c r="AE17" i="1"/>
  <c r="AK17" i="1" s="1"/>
  <c r="AL17" i="1" s="1"/>
  <c r="AH63" i="1"/>
  <c r="AJ63" i="1" s="1"/>
  <c r="AL63" i="1" s="1"/>
  <c r="AI63" i="1"/>
  <c r="AH97" i="1"/>
  <c r="AJ97" i="1" s="1"/>
  <c r="AL97" i="1" s="1"/>
  <c r="AI97" i="1"/>
  <c r="AH94" i="1"/>
  <c r="AI94" i="1"/>
  <c r="AK94" i="1" s="1"/>
  <c r="AL94" i="1" s="1"/>
  <c r="AH66" i="1"/>
  <c r="AI66" i="1"/>
  <c r="AK66" i="1" s="1"/>
  <c r="AL66" i="1" s="1"/>
  <c r="AK92" i="6" l="1"/>
  <c r="AL92" i="6" s="1"/>
  <c r="AO92" i="6" s="1"/>
  <c r="AK40" i="5"/>
  <c r="AL40" i="5" s="1"/>
  <c r="AO40" i="5" s="1"/>
  <c r="AK96" i="5"/>
  <c r="AL96" i="5" s="1"/>
  <c r="AO96" i="5" s="1"/>
  <c r="AK10" i="5"/>
  <c r="AL10" i="5" s="1"/>
  <c r="AO10" i="5" s="1"/>
  <c r="AK30" i="5"/>
  <c r="AL30" i="5" s="1"/>
  <c r="AO30" i="5" s="1"/>
  <c r="AK36" i="6"/>
  <c r="AL36" i="6" s="1"/>
  <c r="AO36" i="6" s="1"/>
  <c r="AK38" i="6"/>
  <c r="AL38" i="6" s="1"/>
  <c r="AO38" i="6" s="1"/>
  <c r="AK102" i="6"/>
  <c r="AL102" i="6" s="1"/>
  <c r="AO102" i="6" s="1"/>
  <c r="AK66" i="6"/>
  <c r="AL66" i="6" s="1"/>
  <c r="AO66" i="6" s="1"/>
  <c r="AK98" i="6"/>
  <c r="AL98" i="6" s="1"/>
  <c r="AO98" i="6" s="1"/>
  <c r="AK52" i="6"/>
  <c r="AL52" i="6" s="1"/>
  <c r="AO52" i="6" s="1"/>
  <c r="AK68" i="6"/>
  <c r="AL68" i="6" s="1"/>
  <c r="AO68" i="6" s="1"/>
  <c r="AK46" i="6"/>
  <c r="AL46" i="6" s="1"/>
  <c r="AO46" i="6" s="1"/>
  <c r="AK70" i="6"/>
  <c r="AL70" i="6" s="1"/>
  <c r="AO70" i="6" s="1"/>
  <c r="AK30" i="6"/>
  <c r="AL30" i="6" s="1"/>
  <c r="AO30" i="6" s="1"/>
  <c r="AK60" i="6"/>
  <c r="AL60" i="6" s="1"/>
  <c r="AO60" i="6" s="1"/>
  <c r="AK88" i="6"/>
  <c r="AL88" i="6" s="1"/>
  <c r="AO88" i="6" s="1"/>
  <c r="AK26" i="5"/>
  <c r="AL26" i="5" s="1"/>
  <c r="AO26" i="5" s="1"/>
  <c r="AK86" i="5"/>
  <c r="AL86" i="5" s="1"/>
  <c r="AO86" i="5" s="1"/>
  <c r="AJ71" i="5"/>
  <c r="AL71" i="5" s="1"/>
  <c r="AO71" i="5" s="1"/>
  <c r="AK82" i="5"/>
  <c r="AL82" i="5" s="1"/>
  <c r="AO82" i="5" s="1"/>
  <c r="AK2" i="5"/>
  <c r="AL2" i="5" s="1"/>
  <c r="AO2" i="5" s="1"/>
  <c r="AK104" i="5"/>
  <c r="AL104" i="5" s="1"/>
  <c r="AO104" i="5" s="1"/>
  <c r="AK38" i="5"/>
  <c r="AL38" i="5" s="1"/>
  <c r="AO38" i="5" s="1"/>
  <c r="AK5" i="5"/>
  <c r="AL5" i="5" s="1"/>
  <c r="AO5" i="5" s="1"/>
  <c r="AK2" i="1"/>
  <c r="AL2" i="1" s="1"/>
  <c r="AK36" i="1"/>
  <c r="AL36" i="1" s="1"/>
  <c r="AK104" i="1"/>
  <c r="AL104" i="1" s="1"/>
  <c r="AK68" i="1"/>
  <c r="AL68" i="1" s="1"/>
  <c r="AK56" i="1"/>
  <c r="AL56" i="1" s="1"/>
  <c r="AK28" i="1"/>
  <c r="AL28" i="1" s="1"/>
  <c r="AK44" i="1"/>
  <c r="AL44" i="1" s="1"/>
  <c r="AK60" i="1"/>
  <c r="AL60" i="1" s="1"/>
  <c r="AK12" i="1"/>
  <c r="AL12" i="1" s="1"/>
  <c r="AK92" i="1"/>
  <c r="AL92" i="1" s="1"/>
  <c r="AK52" i="1"/>
  <c r="AL52" i="1" s="1"/>
  <c r="AK20" i="1"/>
  <c r="AL20" i="1" s="1"/>
  <c r="AK96" i="1"/>
  <c r="AL96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<sst xmlns="http://schemas.openxmlformats.org/spreadsheetml/2006/main" count="1160" uniqueCount="50">
  <si>
    <t>StrikePrice</t>
  </si>
  <si>
    <t>Put Model</t>
  </si>
  <si>
    <t>Call Model</t>
  </si>
  <si>
    <t>Put Market</t>
  </si>
  <si>
    <t>Call Market</t>
  </si>
  <si>
    <t>Date</t>
  </si>
  <si>
    <t>matu</t>
  </si>
  <si>
    <t>Spot</t>
  </si>
  <si>
    <t>Fwd</t>
  </si>
  <si>
    <t>PutOrCall</t>
  </si>
  <si>
    <t>ContractMultiplier</t>
  </si>
  <si>
    <t>ExerciseStyle</t>
  </si>
  <si>
    <t>bid</t>
  </si>
  <si>
    <t>ask</t>
  </si>
  <si>
    <t>sigma</t>
  </si>
  <si>
    <t>Spread</t>
  </si>
  <si>
    <t>price</t>
  </si>
  <si>
    <t>delta</t>
  </si>
  <si>
    <t>vega</t>
  </si>
  <si>
    <t>gamma</t>
  </si>
  <si>
    <t>theta</t>
  </si>
  <si>
    <t>adjust</t>
  </si>
  <si>
    <t>calib_ok</t>
  </si>
  <si>
    <t>Timestamp_txt</t>
  </si>
  <si>
    <t>Maturity</t>
  </si>
  <si>
    <t>Time to Maturity</t>
  </si>
  <si>
    <t>Short Rate</t>
  </si>
  <si>
    <t>ln (S / K)</t>
  </si>
  <si>
    <t>(r + sigma**2 / 2)</t>
  </si>
  <si>
    <t>(T - t)</t>
  </si>
  <si>
    <t>sigma * sqrt(T-t)</t>
  </si>
  <si>
    <t>d1</t>
  </si>
  <si>
    <t>N(d1)</t>
  </si>
  <si>
    <t>N(-d1)</t>
  </si>
  <si>
    <t>d2</t>
  </si>
  <si>
    <t>N(d2)</t>
  </si>
  <si>
    <t>N(-d2)</t>
  </si>
  <si>
    <t>Call Price</t>
  </si>
  <si>
    <t>Put Price</t>
  </si>
  <si>
    <t>Option Price</t>
  </si>
  <si>
    <t>Put</t>
  </si>
  <si>
    <t>European</t>
  </si>
  <si>
    <t>Call</t>
  </si>
  <si>
    <t>Imp_Vol</t>
  </si>
  <si>
    <t>Ask</t>
  </si>
  <si>
    <t>Price</t>
  </si>
  <si>
    <t>Market - Model</t>
  </si>
  <si>
    <t>Model - Market</t>
  </si>
  <si>
    <t>Contract
Multiplier</t>
  </si>
  <si>
    <t>Exercise
Style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</si>
</sst>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"/>
    <numFmt numFmtId="165" formatCode="0.000"/>
    <numFmt numFmtId="166" formatCode="0.00000"/>
  </numFmts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0.79998168889431442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4">
    <xf numFmtId="0" fontId="0" fillId="0" borderId="0" xfId="0"/>
    <xf numFmtId="22" fontId="0" fillId="0" borderId="0" xfId="0" applyNumberFormat="1"/>
    <xf numFmtId="0" fontId="16" fillId="0" borderId="10" xfId="0" applyFont="1" applyBorder="1"/>
    <xf numFmtId="164" fontId="0" fillId="0" borderId="0" xfId="0" applyNumberFormat="1"/>
    <xf numFmtId="0" fontId="0" fillId="33" borderId="0" xfId="0" applyFill="1"/>
    <xf numFmtId="165" fontId="0" fillId="0" borderId="0" xfId="0" applyNumberFormat="1"/>
    <xf numFmtId="164" fontId="16" fillId="0" borderId="10" xfId="0" applyNumberFormat="1" applyFont="1" applyBorder="1"/>
    <xf numFmtId="164" fontId="0" fillId="33" borderId="0" xfId="0" applyNumberFormat="1" applyFill="1"/>
    <xf numFmtId="166" fontId="16" fillId="0" borderId="10" xfId="0" applyNumberFormat="1" applyFont="1" applyBorder="1"/>
    <xf numFmtId="166" fontId="0" fillId="0" borderId="0" xfId="0" applyNumberFormat="1"/>
    <xf numFmtId="164" fontId="0" fillId="0" borderId="0" xfId="0" quotePrefix="1" applyNumberFormat="1"/>
    <xf numFmtId="165" fontId="16" fillId="0" borderId="10" xfId="0" applyNumberFormat="1" applyFont="1" applyBorder="1"/>
    <xf numFmtId="165" fontId="0" fillId="0" borderId="0" xfId="0" quotePrefix="1" applyNumberFormat="1"/>
    <xf numFmtId="2" fontId="16" fillId="0" borderId="10" xfId="0" applyNumberFormat="1" applyFont="1" applyBorder="1"/>
    <xf numFmtId="2" fontId="0" fillId="0" borderId="0" xfId="0" applyNumberFormat="1"/>
    <xf numFmtId="165" fontId="16" fillId="0" borderId="0" xfId="0" applyNumberFormat="1" applyFont="1"/>
    <xf numFmtId="0" fontId="16" fillId="0" borderId="10" xfId="0" applyFont="1" applyBorder="1" applyAlignment="1">
      <alignment wrapText="1"/>
    </xf>
    <xf numFmtId="164" fontId="16" fillId="0" borderId="10" xfId="0" applyNumberFormat="1" applyFont="1" applyBorder="1" applyAlignment="1">
      <alignment horizontal="right"/>
    </xf>
    <xf numFmtId="164" fontId="0" fillId="0" borderId="0" xfId="0" applyNumberFormat="1" applyAlignment="1">
      <alignment horizontal="right"/>
    </xf>
    <xf numFmtId="165" fontId="16" fillId="0" borderId="10" xfId="0" applyNumberFormat="1" applyFont="1" applyBorder="1" applyAlignment="1">
      <alignment horizontal="right"/>
    </xf>
    <xf numFmtId="165" fontId="0" fillId="0" borderId="0" xfId="0" applyNumberFormat="1" applyAlignment="1">
      <alignment horizontal="right"/>
    </xf>
    <xf numFmtId="2" fontId="0" fillId="0" borderId="0" xfId="0" quotePrefix="1" applyNumberFormat="1"/>
    <xf numFmtId="0" fontId="16" fillId="0" borderId="10" xfId="0" applyFont="1" applyBorder="1" applyAlignment="1">
      <alignment horizontal="right"/>
    </xf>
    <xf numFmtId="0" fontId="0" fillId="0" borderId="0" xfId="0" applyAlignment="1">
      <alignment horizontal="right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Put values model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Pricing!$B$3:$B$69</c:f>
              <c:numCache>
                <c:formatCode>General</c:formatCode>
                <c:ptCount val="67"/>
                <c:pt idx="0">
                  <c:v>3475</c:v>
                </c:pt>
                <c:pt idx="1">
                  <c:v>3500</c:v>
                </c:pt>
                <c:pt idx="2">
                  <c:v>3525</c:v>
                </c:pt>
                <c:pt idx="3">
                  <c:v>3550</c:v>
                </c:pt>
                <c:pt idx="4">
                  <c:v>3575</c:v>
                </c:pt>
                <c:pt idx="5">
                  <c:v>3600</c:v>
                </c:pt>
                <c:pt idx="6">
                  <c:v>3625</c:v>
                </c:pt>
                <c:pt idx="7">
                  <c:v>3650</c:v>
                </c:pt>
                <c:pt idx="8">
                  <c:v>3675</c:v>
                </c:pt>
                <c:pt idx="9">
                  <c:v>3700</c:v>
                </c:pt>
                <c:pt idx="10">
                  <c:v>3725</c:v>
                </c:pt>
                <c:pt idx="11">
                  <c:v>3750</c:v>
                </c:pt>
                <c:pt idx="12">
                  <c:v>3775</c:v>
                </c:pt>
                <c:pt idx="13">
                  <c:v>3800</c:v>
                </c:pt>
                <c:pt idx="14">
                  <c:v>3825</c:v>
                </c:pt>
                <c:pt idx="15">
                  <c:v>3850</c:v>
                </c:pt>
                <c:pt idx="16">
                  <c:v>3875</c:v>
                </c:pt>
                <c:pt idx="17">
                  <c:v>3900</c:v>
                </c:pt>
                <c:pt idx="18">
                  <c:v>3925</c:v>
                </c:pt>
                <c:pt idx="19">
                  <c:v>3950</c:v>
                </c:pt>
                <c:pt idx="20">
                  <c:v>3975</c:v>
                </c:pt>
                <c:pt idx="21">
                  <c:v>4000</c:v>
                </c:pt>
                <c:pt idx="22">
                  <c:v>4025</c:v>
                </c:pt>
                <c:pt idx="23">
                  <c:v>4050</c:v>
                </c:pt>
                <c:pt idx="24">
                  <c:v>4075</c:v>
                </c:pt>
                <c:pt idx="25">
                  <c:v>4100</c:v>
                </c:pt>
                <c:pt idx="26">
                  <c:v>4125</c:v>
                </c:pt>
                <c:pt idx="27">
                  <c:v>4150</c:v>
                </c:pt>
                <c:pt idx="28">
                  <c:v>4175</c:v>
                </c:pt>
                <c:pt idx="29">
                  <c:v>4200</c:v>
                </c:pt>
                <c:pt idx="30">
                  <c:v>4225</c:v>
                </c:pt>
                <c:pt idx="31">
                  <c:v>4250</c:v>
                </c:pt>
                <c:pt idx="32">
                  <c:v>4275</c:v>
                </c:pt>
                <c:pt idx="33">
                  <c:v>4300</c:v>
                </c:pt>
                <c:pt idx="34">
                  <c:v>4325</c:v>
                </c:pt>
                <c:pt idx="35">
                  <c:v>4350</c:v>
                </c:pt>
                <c:pt idx="36">
                  <c:v>4375</c:v>
                </c:pt>
                <c:pt idx="37">
                  <c:v>4400</c:v>
                </c:pt>
                <c:pt idx="38">
                  <c:v>4425</c:v>
                </c:pt>
                <c:pt idx="39">
                  <c:v>4450</c:v>
                </c:pt>
                <c:pt idx="40">
                  <c:v>4475</c:v>
                </c:pt>
                <c:pt idx="41">
                  <c:v>4500</c:v>
                </c:pt>
                <c:pt idx="42">
                  <c:v>4525</c:v>
                </c:pt>
                <c:pt idx="43">
                  <c:v>4550</c:v>
                </c:pt>
                <c:pt idx="44">
                  <c:v>4575</c:v>
                </c:pt>
                <c:pt idx="45">
                  <c:v>4600</c:v>
                </c:pt>
                <c:pt idx="46">
                  <c:v>4625</c:v>
                </c:pt>
                <c:pt idx="47">
                  <c:v>4650</c:v>
                </c:pt>
                <c:pt idx="48">
                  <c:v>4675</c:v>
                </c:pt>
                <c:pt idx="49">
                  <c:v>4700</c:v>
                </c:pt>
                <c:pt idx="50">
                  <c:v>4725</c:v>
                </c:pt>
                <c:pt idx="51">
                  <c:v>4750</c:v>
                </c:pt>
                <c:pt idx="52">
                  <c:v>4775</c:v>
                </c:pt>
                <c:pt idx="53">
                  <c:v>4800</c:v>
                </c:pt>
                <c:pt idx="54">
                  <c:v>4825</c:v>
                </c:pt>
                <c:pt idx="55">
                  <c:v>4850</c:v>
                </c:pt>
                <c:pt idx="56">
                  <c:v>4875</c:v>
                </c:pt>
                <c:pt idx="57">
                  <c:v>4900</c:v>
                </c:pt>
                <c:pt idx="58">
                  <c:v>4925</c:v>
                </c:pt>
                <c:pt idx="59">
                  <c:v>4950</c:v>
                </c:pt>
                <c:pt idx="60">
                  <c:v>4975</c:v>
                </c:pt>
                <c:pt idx="61">
                  <c:v>5000</c:v>
                </c:pt>
                <c:pt idx="62">
                  <c:v>5025</c:v>
                </c:pt>
                <c:pt idx="63">
                  <c:v>5050</c:v>
                </c:pt>
                <c:pt idx="64">
                  <c:v>5075</c:v>
                </c:pt>
                <c:pt idx="65">
                  <c:v>5100</c:v>
                </c:pt>
                <c:pt idx="66">
                  <c:v>5125</c:v>
                </c:pt>
              </c:numCache>
            </c:numRef>
          </c:xVal>
          <c:yVal>
            <c:numRef>
              <c:f>Pricing!$C$3:$C$69</c:f>
              <c:numCache>
                <c:formatCode>General</c:formatCode>
                <c:ptCount val="67"/>
                <c:pt idx="0">
                  <c:v>1.8461146728812432E-11</c:v>
                </c:pt>
                <c:pt idx="1">
                  <c:v>6.4100314017293791E-11</c:v>
                </c:pt>
                <c:pt idx="2">
                  <c:v>2.1452137124267747E-10</c:v>
                </c:pt>
                <c:pt idx="3">
                  <c:v>6.9250135017475747E-10</c:v>
                </c:pt>
                <c:pt idx="4">
                  <c:v>2.1579117632795536E-9</c:v>
                </c:pt>
                <c:pt idx="5">
                  <c:v>6.4957003660003204E-9</c:v>
                </c:pt>
                <c:pt idx="6">
                  <c:v>1.8901964803560961E-8</c:v>
                </c:pt>
                <c:pt idx="7">
                  <c:v>5.3208308500329486E-8</c:v>
                </c:pt>
                <c:pt idx="8">
                  <c:v>1.4499067630176644E-7</c:v>
                </c:pt>
                <c:pt idx="9">
                  <c:v>3.8271842970300049E-7</c:v>
                </c:pt>
                <c:pt idx="10">
                  <c:v>9.7922420830780883E-7</c:v>
                </c:pt>
                <c:pt idx="11">
                  <c:v>2.430119559779871E-6</c:v>
                </c:pt>
                <c:pt idx="12">
                  <c:v>5.8531529662607515E-6</c:v>
                </c:pt>
                <c:pt idx="13">
                  <c:v>1.3691083426984642E-5</c:v>
                </c:pt>
                <c:pt idx="14">
                  <c:v>3.1119718927135297E-5</c:v>
                </c:pt>
                <c:pt idx="15">
                  <c:v>6.8776976536941148E-5</c:v>
                </c:pt>
                <c:pt idx="16">
                  <c:v>1.4788203658543456E-4</c:v>
                </c:pt>
                <c:pt idx="17">
                  <c:v>3.0953089350728435E-4</c:v>
                </c:pt>
                <c:pt idx="18">
                  <c:v>6.3103915518820941E-4</c:v>
                </c:pt>
                <c:pt idx="19">
                  <c:v>1.2537653372510227E-3</c:v>
                </c:pt>
                <c:pt idx="20">
                  <c:v>2.4289828004622482E-3</c:v>
                </c:pt>
                <c:pt idx="21">
                  <c:v>4.5911168282021242E-3</c:v>
                </c:pt>
                <c:pt idx="22">
                  <c:v>8.4709598030057176E-3</c:v>
                </c:pt>
                <c:pt idx="23">
                  <c:v>1.5265088204122534E-2</c:v>
                </c:pt>
                <c:pt idx="24">
                  <c:v>2.6881167827685903E-2</c:v>
                </c:pt>
                <c:pt idx="25">
                  <c:v>4.6281418203318658E-2</c:v>
                </c:pt>
                <c:pt idx="26">
                  <c:v>7.794722208039051E-2</c:v>
                </c:pt>
                <c:pt idx="27">
                  <c:v>0.12848553368501037</c:v>
                </c:pt>
                <c:pt idx="28">
                  <c:v>0.20739115927097984</c:v>
                </c:pt>
                <c:pt idx="29">
                  <c:v>0.32796718002771286</c:v>
                </c:pt>
                <c:pt idx="30">
                  <c:v>0.50838832276916435</c:v>
                </c:pt>
                <c:pt idx="31">
                  <c:v>0.77286937910594133</c:v>
                </c:pt>
                <c:pt idx="32">
                  <c:v>1.15287436400655</c:v>
                </c:pt>
                <c:pt idx="33">
                  <c:v>1.6882747393990485</c:v>
                </c:pt>
                <c:pt idx="34">
                  <c:v>2.4283405416240669</c:v>
                </c:pt>
                <c:pt idx="35">
                  <c:v>3.4324311582305995</c:v>
                </c:pt>
                <c:pt idx="36">
                  <c:v>4.7702473361885041</c:v>
                </c:pt>
                <c:pt idx="37">
                  <c:v>6.5215164942421211</c:v>
                </c:pt>
                <c:pt idx="38">
                  <c:v>8.7750116072716082</c:v>
                </c:pt>
                <c:pt idx="39">
                  <c:v>11.626849499934565</c:v>
                </c:pt>
                <c:pt idx="40">
                  <c:v>15.178074247433756</c:v>
                </c:pt>
                <c:pt idx="41">
                  <c:v>19.531599792153202</c:v>
                </c:pt>
                <c:pt idx="42">
                  <c:v>24.78865505467661</c:v>
                </c:pt>
                <c:pt idx="43">
                  <c:v>31.044935960227122</c:v>
                </c:pt>
                <c:pt idx="44">
                  <c:v>38.386713472932342</c:v>
                </c:pt>
                <c:pt idx="45">
                  <c:v>46.887168205109219</c:v>
                </c:pt>
                <c:pt idx="46">
                  <c:v>56.603216592865465</c:v>
                </c:pt>
                <c:pt idx="47">
                  <c:v>67.573060720997091</c:v>
                </c:pt>
                <c:pt idx="48">
                  <c:v>79.814637039938589</c:v>
                </c:pt>
                <c:pt idx="49">
                  <c:v>93.325065024697324</c:v>
                </c:pt>
                <c:pt idx="50">
                  <c:v>108.08111402116401</c:v>
                </c:pt>
                <c:pt idx="51">
                  <c:v>124.0406246771131</c:v>
                </c:pt>
                <c:pt idx="52">
                  <c:v>141.14474945583243</c:v>
                </c:pt>
                <c:pt idx="53">
                  <c:v>159.32082196982128</c:v>
                </c:pt>
                <c:pt idx="54">
                  <c:v>178.48563178355425</c:v>
                </c:pt>
                <c:pt idx="55">
                  <c:v>198.54887142016605</c:v>
                </c:pt>
                <c:pt idx="56">
                  <c:v>219.41653415546898</c:v>
                </c:pt>
                <c:pt idx="57">
                  <c:v>240.9940710007927</c:v>
                </c:pt>
                <c:pt idx="58">
                  <c:v>263.1891576953567</c:v>
                </c:pt>
                <c:pt idx="59">
                  <c:v>285.91397152151967</c:v>
                </c:pt>
                <c:pt idx="60">
                  <c:v>309.08692749974762</c:v>
                </c:pt>
                <c:pt idx="61">
                  <c:v>332.63386908779194</c:v>
                </c:pt>
                <c:pt idx="62">
                  <c:v>356.48874631367289</c:v>
                </c:pt>
                <c:pt idx="63">
                  <c:v>380.59384224610494</c:v>
                </c:pt>
                <c:pt idx="64">
                  <c:v>404.89962623886458</c:v>
                </c:pt>
                <c:pt idx="65">
                  <c:v>429.36432008814336</c:v>
                </c:pt>
                <c:pt idx="66">
                  <c:v>453.95326260232287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F3E-49DF-AF2B-6581288B9657}"/>
            </c:ext>
          </c:extLst>
        </c:ser>
        <c:ser>
          <c:idx val="1"/>
          <c:order val="1"/>
          <c:tx>
            <c:v>Call values model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Pricing!$B$32:$B$69</c:f>
              <c:numCache>
                <c:formatCode>General</c:formatCode>
                <c:ptCount val="38"/>
                <c:pt idx="0">
                  <c:v>4200</c:v>
                </c:pt>
                <c:pt idx="1">
                  <c:v>4225</c:v>
                </c:pt>
                <c:pt idx="2">
                  <c:v>4250</c:v>
                </c:pt>
                <c:pt idx="3">
                  <c:v>4275</c:v>
                </c:pt>
                <c:pt idx="4">
                  <c:v>4300</c:v>
                </c:pt>
                <c:pt idx="5">
                  <c:v>4325</c:v>
                </c:pt>
                <c:pt idx="6">
                  <c:v>4350</c:v>
                </c:pt>
                <c:pt idx="7">
                  <c:v>4375</c:v>
                </c:pt>
                <c:pt idx="8">
                  <c:v>4400</c:v>
                </c:pt>
                <c:pt idx="9">
                  <c:v>4425</c:v>
                </c:pt>
                <c:pt idx="10">
                  <c:v>4450</c:v>
                </c:pt>
                <c:pt idx="11">
                  <c:v>4475</c:v>
                </c:pt>
                <c:pt idx="12">
                  <c:v>4500</c:v>
                </c:pt>
                <c:pt idx="13">
                  <c:v>4525</c:v>
                </c:pt>
                <c:pt idx="14">
                  <c:v>4550</c:v>
                </c:pt>
                <c:pt idx="15">
                  <c:v>4575</c:v>
                </c:pt>
                <c:pt idx="16">
                  <c:v>4600</c:v>
                </c:pt>
                <c:pt idx="17">
                  <c:v>4625</c:v>
                </c:pt>
                <c:pt idx="18">
                  <c:v>4650</c:v>
                </c:pt>
                <c:pt idx="19">
                  <c:v>4675</c:v>
                </c:pt>
                <c:pt idx="20">
                  <c:v>4700</c:v>
                </c:pt>
                <c:pt idx="21">
                  <c:v>4725</c:v>
                </c:pt>
                <c:pt idx="22">
                  <c:v>4750</c:v>
                </c:pt>
                <c:pt idx="23">
                  <c:v>4775</c:v>
                </c:pt>
                <c:pt idx="24">
                  <c:v>4800</c:v>
                </c:pt>
                <c:pt idx="25">
                  <c:v>4825</c:v>
                </c:pt>
                <c:pt idx="26">
                  <c:v>4850</c:v>
                </c:pt>
                <c:pt idx="27">
                  <c:v>4875</c:v>
                </c:pt>
                <c:pt idx="28">
                  <c:v>4900</c:v>
                </c:pt>
                <c:pt idx="29">
                  <c:v>4925</c:v>
                </c:pt>
                <c:pt idx="30">
                  <c:v>4950</c:v>
                </c:pt>
                <c:pt idx="31">
                  <c:v>4975</c:v>
                </c:pt>
                <c:pt idx="32">
                  <c:v>5000</c:v>
                </c:pt>
                <c:pt idx="33">
                  <c:v>5025</c:v>
                </c:pt>
                <c:pt idx="34">
                  <c:v>5050</c:v>
                </c:pt>
                <c:pt idx="35">
                  <c:v>5075</c:v>
                </c:pt>
                <c:pt idx="36">
                  <c:v>5100</c:v>
                </c:pt>
                <c:pt idx="37">
                  <c:v>5125</c:v>
                </c:pt>
              </c:numCache>
            </c:numRef>
          </c:xVal>
          <c:yVal>
            <c:numRef>
              <c:f>Pricing!$D$32:$D$69</c:f>
              <c:numCache>
                <c:formatCode>General</c:formatCode>
                <c:ptCount val="38"/>
                <c:pt idx="0">
                  <c:v>470.79992749866778</c:v>
                </c:pt>
                <c:pt idx="1">
                  <c:v>446.02184840521022</c:v>
                </c:pt>
                <c:pt idx="2">
                  <c:v>421.32782922534898</c:v>
                </c:pt>
                <c:pt idx="3">
                  <c:v>396.7493339740513</c:v>
                </c:pt>
                <c:pt idx="4">
                  <c:v>372.32623411324494</c:v>
                </c:pt>
                <c:pt idx="5">
                  <c:v>348.10779967927101</c:v>
                </c:pt>
                <c:pt idx="6">
                  <c:v>324.15339005967871</c:v>
                </c:pt>
                <c:pt idx="7">
                  <c:v>300.53270600143878</c:v>
                </c:pt>
                <c:pt idx="8">
                  <c:v>277.32547492329286</c:v>
                </c:pt>
                <c:pt idx="9">
                  <c:v>254.62046980012428</c:v>
                </c:pt>
                <c:pt idx="10">
                  <c:v>232.51380745658935</c:v>
                </c:pt>
                <c:pt idx="11">
                  <c:v>211.10653196788871</c:v>
                </c:pt>
                <c:pt idx="12">
                  <c:v>190.50155727641004</c:v>
                </c:pt>
                <c:pt idx="13">
                  <c:v>170.80011230273522</c:v>
                </c:pt>
                <c:pt idx="14">
                  <c:v>152.09789297208681</c:v>
                </c:pt>
                <c:pt idx="15">
                  <c:v>134.48117024859448</c:v>
                </c:pt>
                <c:pt idx="16">
                  <c:v>118.02312474457131</c:v>
                </c:pt>
                <c:pt idx="17">
                  <c:v>102.78067289613</c:v>
                </c:pt>
                <c:pt idx="18">
                  <c:v>88.792016788062938</c:v>
                </c:pt>
                <c:pt idx="19">
                  <c:v>76.075092870805747</c:v>
                </c:pt>
                <c:pt idx="20">
                  <c:v>64.627020619365794</c:v>
                </c:pt>
                <c:pt idx="21">
                  <c:v>54.424569379634249</c:v>
                </c:pt>
                <c:pt idx="22">
                  <c:v>45.425579799384877</c:v>
                </c:pt>
                <c:pt idx="23">
                  <c:v>37.571204341905968</c:v>
                </c:pt>
                <c:pt idx="24">
                  <c:v>30.788776619695454</c:v>
                </c:pt>
                <c:pt idx="25">
                  <c:v>24.995086197229966</c:v>
                </c:pt>
                <c:pt idx="26">
                  <c:v>20.099825597642734</c:v>
                </c:pt>
                <c:pt idx="27">
                  <c:v>16.008988096747089</c:v>
                </c:pt>
                <c:pt idx="28">
                  <c:v>12.628024705872804</c:v>
                </c:pt>
                <c:pt idx="29">
                  <c:v>9.8646111642378287</c:v>
                </c:pt>
                <c:pt idx="30">
                  <c:v>7.6309247542018284</c:v>
                </c:pt>
                <c:pt idx="31">
                  <c:v>5.8453804962322238</c:v>
                </c:pt>
                <c:pt idx="32">
                  <c:v>4.4338218480774003</c:v>
                </c:pt>
                <c:pt idx="33">
                  <c:v>3.3301988377600367</c:v>
                </c:pt>
                <c:pt idx="34">
                  <c:v>2.4767945339940241</c:v>
                </c:pt>
                <c:pt idx="35">
                  <c:v>1.8240782905544535</c:v>
                </c:pt>
                <c:pt idx="36">
                  <c:v>1.3302719036344257</c:v>
                </c:pt>
                <c:pt idx="37">
                  <c:v>0.96071418161555755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F3E-49DF-AF2B-6581288B9657}"/>
            </c:ext>
          </c:extLst>
        </c:ser>
        <c:ser>
          <c:idx val="2"/>
          <c:order val="2"/>
          <c:tx>
            <c:v>Put values market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Pricing!$B$3:$B$69</c:f>
              <c:numCache>
                <c:formatCode>General</c:formatCode>
                <c:ptCount val="67"/>
                <c:pt idx="0">
                  <c:v>3475</c:v>
                </c:pt>
                <c:pt idx="1">
                  <c:v>3500</c:v>
                </c:pt>
                <c:pt idx="2">
                  <c:v>3525</c:v>
                </c:pt>
                <c:pt idx="3">
                  <c:v>3550</c:v>
                </c:pt>
                <c:pt idx="4">
                  <c:v>3575</c:v>
                </c:pt>
                <c:pt idx="5">
                  <c:v>3600</c:v>
                </c:pt>
                <c:pt idx="6">
                  <c:v>3625</c:v>
                </c:pt>
                <c:pt idx="7">
                  <c:v>3650</c:v>
                </c:pt>
                <c:pt idx="8">
                  <c:v>3675</c:v>
                </c:pt>
                <c:pt idx="9">
                  <c:v>3700</c:v>
                </c:pt>
                <c:pt idx="10">
                  <c:v>3725</c:v>
                </c:pt>
                <c:pt idx="11">
                  <c:v>3750</c:v>
                </c:pt>
                <c:pt idx="12">
                  <c:v>3775</c:v>
                </c:pt>
                <c:pt idx="13">
                  <c:v>3800</c:v>
                </c:pt>
                <c:pt idx="14">
                  <c:v>3825</c:v>
                </c:pt>
                <c:pt idx="15">
                  <c:v>3850</c:v>
                </c:pt>
                <c:pt idx="16">
                  <c:v>3875</c:v>
                </c:pt>
                <c:pt idx="17">
                  <c:v>3900</c:v>
                </c:pt>
                <c:pt idx="18">
                  <c:v>3925</c:v>
                </c:pt>
                <c:pt idx="19">
                  <c:v>3950</c:v>
                </c:pt>
                <c:pt idx="20">
                  <c:v>3975</c:v>
                </c:pt>
                <c:pt idx="21">
                  <c:v>4000</c:v>
                </c:pt>
                <c:pt idx="22">
                  <c:v>4025</c:v>
                </c:pt>
                <c:pt idx="23">
                  <c:v>4050</c:v>
                </c:pt>
                <c:pt idx="24">
                  <c:v>4075</c:v>
                </c:pt>
                <c:pt idx="25">
                  <c:v>4100</c:v>
                </c:pt>
                <c:pt idx="26">
                  <c:v>4125</c:v>
                </c:pt>
                <c:pt idx="27">
                  <c:v>4150</c:v>
                </c:pt>
                <c:pt idx="28">
                  <c:v>4175</c:v>
                </c:pt>
                <c:pt idx="29">
                  <c:v>4200</c:v>
                </c:pt>
                <c:pt idx="30">
                  <c:v>4225</c:v>
                </c:pt>
                <c:pt idx="31">
                  <c:v>4250</c:v>
                </c:pt>
                <c:pt idx="32">
                  <c:v>4275</c:v>
                </c:pt>
                <c:pt idx="33">
                  <c:v>4300</c:v>
                </c:pt>
                <c:pt idx="34">
                  <c:v>4325</c:v>
                </c:pt>
                <c:pt idx="35">
                  <c:v>4350</c:v>
                </c:pt>
                <c:pt idx="36">
                  <c:v>4375</c:v>
                </c:pt>
                <c:pt idx="37">
                  <c:v>4400</c:v>
                </c:pt>
                <c:pt idx="38">
                  <c:v>4425</c:v>
                </c:pt>
                <c:pt idx="39">
                  <c:v>4450</c:v>
                </c:pt>
                <c:pt idx="40">
                  <c:v>4475</c:v>
                </c:pt>
                <c:pt idx="41">
                  <c:v>4500</c:v>
                </c:pt>
                <c:pt idx="42">
                  <c:v>4525</c:v>
                </c:pt>
                <c:pt idx="43">
                  <c:v>4550</c:v>
                </c:pt>
                <c:pt idx="44">
                  <c:v>4575</c:v>
                </c:pt>
                <c:pt idx="45">
                  <c:v>4600</c:v>
                </c:pt>
                <c:pt idx="46">
                  <c:v>4625</c:v>
                </c:pt>
                <c:pt idx="47">
                  <c:v>4650</c:v>
                </c:pt>
                <c:pt idx="48">
                  <c:v>4675</c:v>
                </c:pt>
                <c:pt idx="49">
                  <c:v>4700</c:v>
                </c:pt>
                <c:pt idx="50">
                  <c:v>4725</c:v>
                </c:pt>
                <c:pt idx="51">
                  <c:v>4750</c:v>
                </c:pt>
                <c:pt idx="52">
                  <c:v>4775</c:v>
                </c:pt>
                <c:pt idx="53">
                  <c:v>4800</c:v>
                </c:pt>
                <c:pt idx="54">
                  <c:v>4825</c:v>
                </c:pt>
                <c:pt idx="55">
                  <c:v>4850</c:v>
                </c:pt>
                <c:pt idx="56">
                  <c:v>4875</c:v>
                </c:pt>
                <c:pt idx="57">
                  <c:v>4900</c:v>
                </c:pt>
                <c:pt idx="58">
                  <c:v>4925</c:v>
                </c:pt>
                <c:pt idx="59">
                  <c:v>4950</c:v>
                </c:pt>
                <c:pt idx="60">
                  <c:v>4975</c:v>
                </c:pt>
                <c:pt idx="61">
                  <c:v>5000</c:v>
                </c:pt>
                <c:pt idx="62">
                  <c:v>5025</c:v>
                </c:pt>
                <c:pt idx="63">
                  <c:v>5050</c:v>
                </c:pt>
                <c:pt idx="64">
                  <c:v>5075</c:v>
                </c:pt>
                <c:pt idx="65">
                  <c:v>5100</c:v>
                </c:pt>
                <c:pt idx="66">
                  <c:v>5125</c:v>
                </c:pt>
              </c:numCache>
            </c:numRef>
          </c:xVal>
          <c:yVal>
            <c:numRef>
              <c:f>Pricing!$E$3:$E$69</c:f>
              <c:numCache>
                <c:formatCode>General</c:formatCode>
                <c:ptCount val="67"/>
                <c:pt idx="0">
                  <c:v>0.15393880800000001</c:v>
                </c:pt>
                <c:pt idx="1">
                  <c:v>0.17033622600000001</c:v>
                </c:pt>
                <c:pt idx="2">
                  <c:v>0.18774026099999999</c:v>
                </c:pt>
                <c:pt idx="3">
                  <c:v>0.20614533900000001</c:v>
                </c:pt>
                <c:pt idx="4">
                  <c:v>0.22554068299999999</c:v>
                </c:pt>
                <c:pt idx="5">
                  <c:v>0.245910355</c:v>
                </c:pt>
                <c:pt idx="6">
                  <c:v>0.26723332900000002</c:v>
                </c:pt>
                <c:pt idx="7">
                  <c:v>0.28948361299999997</c:v>
                </c:pt>
                <c:pt idx="8">
                  <c:v>0.31263040800000003</c:v>
                </c:pt>
                <c:pt idx="9">
                  <c:v>0.336638308</c:v>
                </c:pt>
                <c:pt idx="10">
                  <c:v>0.36336156800000002</c:v>
                </c:pt>
                <c:pt idx="11">
                  <c:v>0.39522628999999998</c:v>
                </c:pt>
                <c:pt idx="12">
                  <c:v>0.433188833</c:v>
                </c:pt>
                <c:pt idx="13">
                  <c:v>0.47842179499999998</c:v>
                </c:pt>
                <c:pt idx="14">
                  <c:v>0.52821476099999998</c:v>
                </c:pt>
                <c:pt idx="15">
                  <c:v>0.57856918199999996</c:v>
                </c:pt>
                <c:pt idx="16">
                  <c:v>0.62887853599999999</c:v>
                </c:pt>
                <c:pt idx="17">
                  <c:v>0.67849021300000001</c:v>
                </c:pt>
                <c:pt idx="18">
                  <c:v>0.72971641200000004</c:v>
                </c:pt>
                <c:pt idx="19">
                  <c:v>0.78569393399999998</c:v>
                </c:pt>
                <c:pt idx="20">
                  <c:v>0.84704551800000005</c:v>
                </c:pt>
                <c:pt idx="21">
                  <c:v>0.91450210499999995</c:v>
                </c:pt>
                <c:pt idx="22">
                  <c:v>0.98892581499999999</c:v>
                </c:pt>
                <c:pt idx="23">
                  <c:v>1.071338685</c:v>
                </c:pt>
                <c:pt idx="24">
                  <c:v>1.162958859</c:v>
                </c:pt>
                <c:pt idx="25">
                  <c:v>1.265246474</c:v>
                </c:pt>
                <c:pt idx="26">
                  <c:v>1.3799743289999999</c:v>
                </c:pt>
                <c:pt idx="27">
                  <c:v>1.5092955589999999</c:v>
                </c:pt>
                <c:pt idx="28">
                  <c:v>1.6558282200000001</c:v>
                </c:pt>
                <c:pt idx="29">
                  <c:v>1.82279357</c:v>
                </c:pt>
                <c:pt idx="30">
                  <c:v>2.018903527</c:v>
                </c:pt>
                <c:pt idx="31">
                  <c:v>2.2558654090000001</c:v>
                </c:pt>
                <c:pt idx="32">
                  <c:v>2.5436774870000001</c:v>
                </c:pt>
                <c:pt idx="33">
                  <c:v>2.8952266930000001</c:v>
                </c:pt>
                <c:pt idx="34">
                  <c:v>3.3300817070000002</c:v>
                </c:pt>
                <c:pt idx="35">
                  <c:v>3.8743702369999999</c:v>
                </c:pt>
                <c:pt idx="36">
                  <c:v>4.5593718379999997</c:v>
                </c:pt>
                <c:pt idx="37">
                  <c:v>5.4261362159999997</c:v>
                </c:pt>
                <c:pt idx="38">
                  <c:v>6.5284766210000003</c:v>
                </c:pt>
                <c:pt idx="39">
                  <c:v>7.9367048880000004</c:v>
                </c:pt>
                <c:pt idx="40">
                  <c:v>9.742124939</c:v>
                </c:pt>
                <c:pt idx="41">
                  <c:v>12.06214363</c:v>
                </c:pt>
                <c:pt idx="42">
                  <c:v>15.0455664</c:v>
                </c:pt>
                <c:pt idx="43">
                  <c:v>18.909409459999999</c:v>
                </c:pt>
                <c:pt idx="44">
                  <c:v>23.922661860000002</c:v>
                </c:pt>
                <c:pt idx="45">
                  <c:v>30.360499000000001</c:v>
                </c:pt>
                <c:pt idx="46">
                  <c:v>38.510762970000002</c:v>
                </c:pt>
                <c:pt idx="47">
                  <c:v>48.746727200000002</c:v>
                </c:pt>
                <c:pt idx="48">
                  <c:v>61.370822390000001</c:v>
                </c:pt>
                <c:pt idx="49">
                  <c:v>76.431398709999996</c:v>
                </c:pt>
                <c:pt idx="50">
                  <c:v>93.797071990000006</c:v>
                </c:pt>
                <c:pt idx="51">
                  <c:v>113.1489894</c:v>
                </c:pt>
                <c:pt idx="52">
                  <c:v>134.1007821</c:v>
                </c:pt>
                <c:pt idx="53">
                  <c:v>156.28976359999999</c:v>
                </c:pt>
                <c:pt idx="54">
                  <c:v>179.3838116</c:v>
                </c:pt>
                <c:pt idx="55">
                  <c:v>203.1117381</c:v>
                </c:pt>
                <c:pt idx="56">
                  <c:v>227.26747349999999</c:v>
                </c:pt>
                <c:pt idx="57">
                  <c:v>251.70353370000001</c:v>
                </c:pt>
                <c:pt idx="58">
                  <c:v>276.32076530000001</c:v>
                </c:pt>
                <c:pt idx="59">
                  <c:v>301.0474294</c:v>
                </c:pt>
                <c:pt idx="60">
                  <c:v>325.84080970000002</c:v>
                </c:pt>
                <c:pt idx="61">
                  <c:v>350.68012929999998</c:v>
                </c:pt>
                <c:pt idx="62">
                  <c:v>375.55140419999998</c:v>
                </c:pt>
                <c:pt idx="63">
                  <c:v>400.44517509999997</c:v>
                </c:pt>
                <c:pt idx="64">
                  <c:v>425.35499800000002</c:v>
                </c:pt>
                <c:pt idx="65">
                  <c:v>450.2764449</c:v>
                </c:pt>
                <c:pt idx="66">
                  <c:v>475.20644449999998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F3E-49DF-AF2B-6581288B9657}"/>
            </c:ext>
          </c:extLst>
        </c:ser>
        <c:ser>
          <c:idx val="3"/>
          <c:order val="3"/>
          <c:tx>
            <c:v>Call values market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Pricing!$B$32:$B$69</c:f>
              <c:numCache>
                <c:formatCode>General</c:formatCode>
                <c:ptCount val="38"/>
                <c:pt idx="0">
                  <c:v>4200</c:v>
                </c:pt>
                <c:pt idx="1">
                  <c:v>4225</c:v>
                </c:pt>
                <c:pt idx="2">
                  <c:v>4250</c:v>
                </c:pt>
                <c:pt idx="3">
                  <c:v>4275</c:v>
                </c:pt>
                <c:pt idx="4">
                  <c:v>4300</c:v>
                </c:pt>
                <c:pt idx="5">
                  <c:v>4325</c:v>
                </c:pt>
                <c:pt idx="6">
                  <c:v>4350</c:v>
                </c:pt>
                <c:pt idx="7">
                  <c:v>4375</c:v>
                </c:pt>
                <c:pt idx="8">
                  <c:v>4400</c:v>
                </c:pt>
                <c:pt idx="9">
                  <c:v>4425</c:v>
                </c:pt>
                <c:pt idx="10">
                  <c:v>4450</c:v>
                </c:pt>
                <c:pt idx="11">
                  <c:v>4475</c:v>
                </c:pt>
                <c:pt idx="12">
                  <c:v>4500</c:v>
                </c:pt>
                <c:pt idx="13">
                  <c:v>4525</c:v>
                </c:pt>
                <c:pt idx="14">
                  <c:v>4550</c:v>
                </c:pt>
                <c:pt idx="15">
                  <c:v>4575</c:v>
                </c:pt>
                <c:pt idx="16">
                  <c:v>4600</c:v>
                </c:pt>
                <c:pt idx="17">
                  <c:v>4625</c:v>
                </c:pt>
                <c:pt idx="18">
                  <c:v>4650</c:v>
                </c:pt>
                <c:pt idx="19">
                  <c:v>4675</c:v>
                </c:pt>
                <c:pt idx="20">
                  <c:v>4700</c:v>
                </c:pt>
                <c:pt idx="21">
                  <c:v>4725</c:v>
                </c:pt>
                <c:pt idx="22">
                  <c:v>4750</c:v>
                </c:pt>
                <c:pt idx="23">
                  <c:v>4775</c:v>
                </c:pt>
                <c:pt idx="24">
                  <c:v>4800</c:v>
                </c:pt>
                <c:pt idx="25">
                  <c:v>4825</c:v>
                </c:pt>
                <c:pt idx="26">
                  <c:v>4850</c:v>
                </c:pt>
                <c:pt idx="27">
                  <c:v>4875</c:v>
                </c:pt>
                <c:pt idx="28">
                  <c:v>4900</c:v>
                </c:pt>
                <c:pt idx="29">
                  <c:v>4925</c:v>
                </c:pt>
                <c:pt idx="30">
                  <c:v>4950</c:v>
                </c:pt>
                <c:pt idx="31">
                  <c:v>4975</c:v>
                </c:pt>
                <c:pt idx="32">
                  <c:v>5000</c:v>
                </c:pt>
                <c:pt idx="33">
                  <c:v>5025</c:v>
                </c:pt>
                <c:pt idx="34">
                  <c:v>5050</c:v>
                </c:pt>
                <c:pt idx="35">
                  <c:v>5075</c:v>
                </c:pt>
                <c:pt idx="36">
                  <c:v>5100</c:v>
                </c:pt>
                <c:pt idx="37">
                  <c:v>5125</c:v>
                </c:pt>
              </c:numCache>
            </c:numRef>
          </c:xVal>
          <c:yVal>
            <c:numRef>
              <c:f>Pricing!$F$32:$F$69</c:f>
              <c:numCache>
                <c:formatCode>General</c:formatCode>
                <c:ptCount val="38"/>
                <c:pt idx="0">
                  <c:v>450.19438450000001</c:v>
                </c:pt>
                <c:pt idx="1">
                  <c:v>425.43441580000001</c:v>
                </c:pt>
                <c:pt idx="2">
                  <c:v>400.71529909999998</c:v>
                </c:pt>
                <c:pt idx="3">
                  <c:v>376.0470325</c:v>
                </c:pt>
                <c:pt idx="4">
                  <c:v>351.44250299999999</c:v>
                </c:pt>
                <c:pt idx="5">
                  <c:v>326.9212794</c:v>
                </c:pt>
                <c:pt idx="6">
                  <c:v>302.50948929999998</c:v>
                </c:pt>
                <c:pt idx="7">
                  <c:v>278.23841220000003</c:v>
                </c:pt>
                <c:pt idx="8">
                  <c:v>254.14909800000001</c:v>
                </c:pt>
                <c:pt idx="9">
                  <c:v>230.29535970000001</c:v>
                </c:pt>
                <c:pt idx="10">
                  <c:v>206.74750929999999</c:v>
                </c:pt>
                <c:pt idx="11">
                  <c:v>183.5968507</c:v>
                </c:pt>
                <c:pt idx="12">
                  <c:v>160.96079080000001</c:v>
                </c:pt>
                <c:pt idx="13">
                  <c:v>138.98813490000001</c:v>
                </c:pt>
                <c:pt idx="14">
                  <c:v>117.8958993</c:v>
                </c:pt>
                <c:pt idx="15">
                  <c:v>97.953073029999999</c:v>
                </c:pt>
                <c:pt idx="16">
                  <c:v>79.434831520000003</c:v>
                </c:pt>
                <c:pt idx="17">
                  <c:v>62.629016839999998</c:v>
                </c:pt>
                <c:pt idx="18">
                  <c:v>47.908902410000003</c:v>
                </c:pt>
                <c:pt idx="19">
                  <c:v>35.57691896</c:v>
                </c:pt>
                <c:pt idx="20">
                  <c:v>25.68141662</c:v>
                </c:pt>
                <c:pt idx="21">
                  <c:v>18.091011250000001</c:v>
                </c:pt>
                <c:pt idx="22">
                  <c:v>12.48685</c:v>
                </c:pt>
                <c:pt idx="23">
                  <c:v>8.4825640789999994</c:v>
                </c:pt>
                <c:pt idx="24">
                  <c:v>5.7154668969999998</c:v>
                </c:pt>
                <c:pt idx="25">
                  <c:v>3.853436276</c:v>
                </c:pt>
                <c:pt idx="26">
                  <c:v>2.6252841039999999</c:v>
                </c:pt>
                <c:pt idx="27">
                  <c:v>1.824940851</c:v>
                </c:pt>
                <c:pt idx="28">
                  <c:v>1.3049223510000001</c:v>
                </c:pt>
                <c:pt idx="29">
                  <c:v>0.96607538000000004</c:v>
                </c:pt>
                <c:pt idx="30">
                  <c:v>0.73666079699999998</c:v>
                </c:pt>
                <c:pt idx="31">
                  <c:v>0.57396241800000003</c:v>
                </c:pt>
                <c:pt idx="32">
                  <c:v>0.45720339999999998</c:v>
                </c:pt>
                <c:pt idx="33">
                  <c:v>0.37239962900000001</c:v>
                </c:pt>
                <c:pt idx="34">
                  <c:v>0.310091905</c:v>
                </c:pt>
                <c:pt idx="35">
                  <c:v>0.26383611000000001</c:v>
                </c:pt>
                <c:pt idx="36">
                  <c:v>0.229204353</c:v>
                </c:pt>
                <c:pt idx="37">
                  <c:v>0.20312529100000001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F3E-49DF-AF2B-6581288B96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7297296"/>
        <c:axId val="1727247952"/>
      </c:scatterChart>
      <c:valAx>
        <c:axId val="1717297296"/>
        <c:scaling>
          <c:orientation val="minMax"/>
          <c:min val="30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Strike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CH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H"/>
          </a:p>
        </c:txPr>
        <c:crossAx val="1727247952"/>
        <c:crosses val="autoZero"/>
        <c:crossBetween val="midCat"/>
      </c:valAx>
      <c:valAx>
        <c:axId val="1727247952"/>
        <c:scaling>
          <c:orientation val="minMax"/>
          <c:min val="-5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Option values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CH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H"/>
          </a:p>
        </c:txPr>
        <c:crossAx val="17172972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H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CH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23537</xdr:colOff>
      <xdr:row>2</xdr:row>
      <xdr:rowOff>38100</xdr:rowOff>
    </xdr:from>
    <xdr:to>
      <xdr:col>29</xdr:col>
      <xdr:colOff>571500</xdr:colOff>
      <xdr:row>34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FF623B3-7055-A660-0C34-51F13C2F1DF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3CC3793F-7799-469D-94C1-4209212B1D3B}">
  <we:reference id="wa104100404" version="3.0.0.1" store="en-US" storeType="OMEX"/>
  <we:alternateReferences>
    <we:reference id="wa104100404" version="3.0.0.1" store="WA104100404" storeType="OMEX"/>
  </we:alternateReferences>
  <we:properties>
    <we:property name="UniqueID" value="&quot;20244221716395390485&quot;"/>
    <we:property name="KBs1Jjw2IlQdQQc9CgAmRg4OPUxaBgEERAgtBituOlAL" value="&quot;RTcKXV9h&quot;"/>
    <we:property name="KBs1Jjw2IlQdQQc9CgAmRg4OPUxaBgEERAgtBituBl0NACALNTwgEw==" value="&quot;JiQC&quot;"/>
    <we:property name="KBs1Jjw2IlQdQQc9CgAmRg4OPUxaBgEERAgtBituOFMZOywX" value="&quot;Ug==&quot;"/>
    <we:property name="KBs1Jjw2IlQdQQc9CgAmRg4OPUxaBgEERAgtBituBl0NACALNS8vGA==" value="&quot;UQ==&quot;"/>
    <we:property name="KBs1Jjw2IlQdQQc9CgAmRg4OPUxaBgEERAgtBituI1MTHyQbBjw9" value="&quot;RS5hTFI=&quot;"/>
    <we:property name="KBs1Jjw2IlQdQQc9CgAmRg4OPUxaBgEERAgtBituBl0NACALNTcrEw==" value="&quot;UA==&quot;"/>
    <we:property name="KBs1Jjw2IlQdQQc9CgAmRg4OPUxaBgEERAgtBituBl0NACALNSk8EQ==" value="&quot;UVh1SVppfkU=&quot;"/>
    <we:property name="KBs1Jjw2IlQdQQc9CgAmRg4OPUxaBgEERAgtBituBl0NACALNSotGA==" value="&quot;UA==&quot;"/>
    <we:property name="KBs1Jjw2IlQdQQc9CgAmRg4OPUxaBgEERAgtBituBl0NACALNSsiDA==" value="&quot;UA==&quot;"/>
    <we:property name="KBs1Jjw2IlQdQQc9CgAmRg4OPUxaBgEERAgtBituBl0NACALNS0hGA==" value="&quot;UVh1SVpo&quot;"/>
    <we:property name="KBs1Jjw2IlQdQQc9CgAmRg4OPUxaBgEERAgtBituBl0NACALNTo4Ew==" value="&quot;UVh1SVpo&quot;"/>
    <we:property name="KBs1Jjw2IlQdQQc9CgAmRg4OPUxaBgEERAgtBituBl0NACALNTQ9GA==" value="&quot;UQ==&quot;"/>
    <we:property name="KBs1Jjw2IlQdQQc9CgAmRg4OPUxaBgEERAgtBituBl0NACALNSo9Dg==" value="&quot;UEZ1&quot;"/>
    <we:property name="KBs1Jjw2IlQdQQc9CgAmRg4OPUxaBgEERAgtBituBl0NACALNSs9EA==" value="&quot;UQ==&quot;"/>
    <we:property name="KBs1Jjw2IlQdQQc9CgAmRg4OPUxaBgEERAgtBituBl0NACALNTQ8AA==" value="&quot;UVh1Tl8=&quot;"/>
    <we:property name="KBs1Jjw2IlQdQQc9CgAmRg4OPUxaBgEERAgtBituBl0NACALNTQgHQ==" value="&quot;UkY=&quot;"/>
    <we:property name="KBs1Jjw2IlQdQQc9CgAmRg4OPUxaBgEERAgtBituBl0NACALNSssAg==" value="&quot;UA==&quot;"/>
    <we:property name="KBs1Jjw2IlQdQQc9CgAmRg4OPUxaBgEERAgtBituBl0NACALNTc6Bg==" value="&quot;Uw==&quot;"/>
    <we:property name="KBs1Jjw2IlQdQQc9CgAmRg4OPUxaBgEERAgtBituBl0NACALNTgtFw==" value="&quot;UVh1SVs=&quot;"/>
    <we:property name="KBs1Jjw2IlQdQQc9CgAmRg4OPUxaBgEERAgtBituBl0NACALNSsrBw==" value="&quot;VA==&quot;"/>
    <we:property name="KBs1Jjw2IlQdQQc9CgAmRg4OPUxaBgEERAgtBituBl0NACALNTg8Bw==" value="&quot;UA==&quot;"/>
    <we:property name="KBs1Jjw2IlQdQQc9CgAmRg4OPUxaBgEERAgtBituBl0NACALNSo6FQ==" value="&quot;UQ==&quot;"/>
    <we:property name="KBs1Jjw2IlQdQQc9CgAmRg4OPUxaBgEERAgtBituBl0NACALNTQrAA==" value="&quot;Uw==&quot;"/>
    <we:property name="KBs1Jjw2IlQdQQc9CgAmRg4OPUxaBgEERAgtBituBl0NACALNSohFw==" value="&quot;UQ==&quot;"/>
    <we:property name="KBs1Jjw2IlQdQQc9CgAmRg4OPUxaBgEERAgtBituBl0NACALNTU+AA==" value="&quot;UQ==&quot;"/>
    <we:property name="KBs1Jjw2IlQdQQc9CgAmRg4OPUxaBgEERAgtBituBl0NACALNTU+BA==" value="&quot;UQ==&quot;"/>
    <we:property name="KBs1Jjw2IlQdQQc9CgAmRg4OPUxaBgEERAgtBituBl0NACALNT4vBA==" value="&quot;UVh1SVppfkU=&quot;"/>
    <we:property name="KBs1Jjw2IlQdQQc9CgAmRg4OPUxaBgEERAgtBituBl0NACALNTA+Bw==" value="&quot;UVh8QA==&quot;"/>
    <we:property name="KBs1Jjw2IlQdQQc9CgAmRg4OPUxaBgEERAgtBituBl0NACALNT8rFQ==" value="&quot;UVh1SVppfkU=&quot;"/>
    <we:property name="KBs1Jjw2IlQdQQc9CgAmRg4OPUxaBgEERAgtBituBl0NACALNTA+HQ==" value="&quot;UA==&quot;"/>
    <we:property name="KBs1Jjw2IlQdQQc9CgAmRg4OPUxaBgEERAgtBituBl0NACALNTA+EA==" value="&quot;Ug==&quot;"/>
  </we:properties>
  <we:bindings>
    <we:binding id="refEdit" type="matrix" appref="{FAC3DAA3-D46C-4FDB-932F-04F7A4F5D242}"/>
    <we:binding id="Worker" type="matrix" appref="{B4E2461E-C4C5-47EA-B170-49BBA962F4C9}"/>
    <we:binding id="Obj" type="matrix" appref="{A8D58212-9D06-4EB8-BE89-4E3CD0BB8E72}"/>
    <we:binding id="Var0" type="matrix" appref="{62BB13E8-6D0C-464E-A183-1C8DF9BEA4E6}"/>
  </we:bindings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F69"/>
  <sheetViews>
    <sheetView showGridLines="0" zoomScale="75" zoomScaleNormal="75" workbookViewId="0">
      <selection activeCell="C10" sqref="C10"/>
    </sheetView>
  </sheetViews>
  <sheetFormatPr defaultRowHeight="15" x14ac:dyDescent="0.25"/>
  <cols>
    <col min="1" max="1" width="4.7109375" customWidth="1"/>
    <col min="2" max="2" width="13.140625" bestFit="1" customWidth="1"/>
    <col min="3" max="6" width="11.85546875" customWidth="1"/>
  </cols>
  <sheetData>
    <row r="2" spans="2:6" x14ac:dyDescent="0.25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</row>
    <row r="3" spans="2:6" x14ac:dyDescent="0.25">
      <c r="B3">
        <v>3475</v>
      </c>
      <c r="C3">
        <f>VLOOKUP(B3,Puts!$F$1:$AN$68,MATCH("Put Price",Puts!$F$1:$AN$1,0),FALSE)</f>
        <v>1.8461146728812432E-11</v>
      </c>
      <c r="D3" t="str">
        <f>_xlfn.IFNA(VLOOKUP(B3,Calls!$F$1:$AN$68,MATCH("Call Price",Puts!$F$1:$AN$1,0),FALSE),"")</f>
        <v/>
      </c>
      <c r="E3">
        <f>VLOOKUP(B3,Puts!$F$1:$AN$68,MATCH("price",Puts!$F$1:$AN$1,0),FALSE)</f>
        <v>0.15393880800000001</v>
      </c>
      <c r="F3" t="str">
        <f>_xlfn.IFNA(VLOOKUP(B3,Calls!$F$1:$AN$68,MATCH("price",Puts!$F$1:$AN$1,0),FALSE),"")</f>
        <v/>
      </c>
    </row>
    <row r="4" spans="2:6" x14ac:dyDescent="0.25">
      <c r="B4">
        <v>3500</v>
      </c>
      <c r="C4">
        <f>VLOOKUP(B4,Puts!$F$1:$AN$68,MATCH("Put Price",Puts!$F$1:$AN$1,0),FALSE)</f>
        <v>6.4100314017293791E-11</v>
      </c>
      <c r="D4" t="str">
        <f>_xlfn.IFNA(VLOOKUP(B4,Calls!$F$1:$AN$68,MATCH("Call Price",Puts!$F$1:$AN$1,0),FALSE),"")</f>
        <v/>
      </c>
      <c r="E4">
        <f>VLOOKUP(B4,Puts!$F$1:$AN$68,MATCH("price",Puts!$F$1:$AN$1,0),FALSE)</f>
        <v>0.17033622600000001</v>
      </c>
      <c r="F4" t="str">
        <f>_xlfn.IFNA(VLOOKUP(B4,Calls!$F$1:$AN$68,MATCH("price",Puts!$F$1:$AN$1,0),FALSE),"")</f>
        <v/>
      </c>
    </row>
    <row r="5" spans="2:6" x14ac:dyDescent="0.25">
      <c r="B5">
        <v>3525</v>
      </c>
      <c r="C5">
        <f>VLOOKUP(B5,Puts!$F$1:$AN$68,MATCH("Put Price",Puts!$F$1:$AN$1,0),FALSE)</f>
        <v>2.1452137124267747E-10</v>
      </c>
      <c r="D5" t="str">
        <f>_xlfn.IFNA(VLOOKUP(B5,Calls!$F$1:$AN$68,MATCH("Call Price",Puts!$F$1:$AN$1,0),FALSE),"")</f>
        <v/>
      </c>
      <c r="E5">
        <f>VLOOKUP(B5,Puts!$F$1:$AN$68,MATCH("price",Puts!$F$1:$AN$1,0),FALSE)</f>
        <v>0.18774026099999999</v>
      </c>
      <c r="F5" t="str">
        <f>_xlfn.IFNA(VLOOKUP(B5,Calls!$F$1:$AN$68,MATCH("price",Puts!$F$1:$AN$1,0),FALSE),"")</f>
        <v/>
      </c>
    </row>
    <row r="6" spans="2:6" x14ac:dyDescent="0.25">
      <c r="B6">
        <v>3550</v>
      </c>
      <c r="C6">
        <f>VLOOKUP(B6,Puts!$F$1:$AN$68,MATCH("Put Price",Puts!$F$1:$AN$1,0),FALSE)</f>
        <v>6.9250135017475747E-10</v>
      </c>
      <c r="D6" t="str">
        <f>_xlfn.IFNA(VLOOKUP(B6,Calls!$F$1:$AN$68,MATCH("Call Price",Puts!$F$1:$AN$1,0),FALSE),"")</f>
        <v/>
      </c>
      <c r="E6">
        <f>VLOOKUP(B6,Puts!$F$1:$AN$68,MATCH("price",Puts!$F$1:$AN$1,0),FALSE)</f>
        <v>0.20614533900000001</v>
      </c>
      <c r="F6" t="str">
        <f>_xlfn.IFNA(VLOOKUP(B6,Calls!$F$1:$AN$68,MATCH("price",Puts!$F$1:$AN$1,0),FALSE),"")</f>
        <v/>
      </c>
    </row>
    <row r="7" spans="2:6" x14ac:dyDescent="0.25">
      <c r="B7">
        <v>3575</v>
      </c>
      <c r="C7">
        <f>VLOOKUP(B7,Puts!$F$1:$AN$68,MATCH("Put Price",Puts!$F$1:$AN$1,0),FALSE)</f>
        <v>2.1579117632795536E-9</v>
      </c>
      <c r="D7" t="str">
        <f>_xlfn.IFNA(VLOOKUP(B7,Calls!$F$1:$AN$68,MATCH("Call Price",Puts!$F$1:$AN$1,0),FALSE),"")</f>
        <v/>
      </c>
      <c r="E7">
        <f>VLOOKUP(B7,Puts!$F$1:$AN$68,MATCH("price",Puts!$F$1:$AN$1,0),FALSE)</f>
        <v>0.22554068299999999</v>
      </c>
      <c r="F7" t="str">
        <f>_xlfn.IFNA(VLOOKUP(B7,Calls!$F$1:$AN$68,MATCH("price",Puts!$F$1:$AN$1,0),FALSE),"")</f>
        <v/>
      </c>
    </row>
    <row r="8" spans="2:6" x14ac:dyDescent="0.25">
      <c r="B8">
        <v>3600</v>
      </c>
      <c r="C8">
        <f>VLOOKUP(B8,Puts!$F$1:$AN$68,MATCH("Put Price",Puts!$F$1:$AN$1,0),FALSE)</f>
        <v>6.4957003660003204E-9</v>
      </c>
      <c r="D8" t="str">
        <f>_xlfn.IFNA(VLOOKUP(B8,Calls!$F$1:$AN$68,MATCH("Call Price",Puts!$F$1:$AN$1,0),FALSE),"")</f>
        <v/>
      </c>
      <c r="E8">
        <f>VLOOKUP(B8,Puts!$F$1:$AN$68,MATCH("price",Puts!$F$1:$AN$1,0),FALSE)</f>
        <v>0.245910355</v>
      </c>
      <c r="F8" t="str">
        <f>_xlfn.IFNA(VLOOKUP(B8,Calls!$F$1:$AN$68,MATCH("price",Puts!$F$1:$AN$1,0),FALSE),"")</f>
        <v/>
      </c>
    </row>
    <row r="9" spans="2:6" x14ac:dyDescent="0.25">
      <c r="B9">
        <v>3625</v>
      </c>
      <c r="C9">
        <f>VLOOKUP(B9,Puts!$F$1:$AN$68,MATCH("Put Price",Puts!$F$1:$AN$1,0),FALSE)</f>
        <v>1.8901964803560961E-8</v>
      </c>
      <c r="D9" t="str">
        <f>_xlfn.IFNA(VLOOKUP(B9,Calls!$F$1:$AN$68,MATCH("Call Price",Puts!$F$1:$AN$1,0),FALSE),"")</f>
        <v/>
      </c>
      <c r="E9">
        <f>VLOOKUP(B9,Puts!$F$1:$AN$68,MATCH("price",Puts!$F$1:$AN$1,0),FALSE)</f>
        <v>0.26723332900000002</v>
      </c>
      <c r="F9" t="str">
        <f>_xlfn.IFNA(VLOOKUP(B9,Calls!$F$1:$AN$68,MATCH("price",Puts!$F$1:$AN$1,0),FALSE),"")</f>
        <v/>
      </c>
    </row>
    <row r="10" spans="2:6" x14ac:dyDescent="0.25">
      <c r="B10">
        <v>3650</v>
      </c>
      <c r="C10">
        <f>VLOOKUP(B10,Puts!$F$1:$AN$68,MATCH("Put Price",Puts!$F$1:$AN$1,0),FALSE)</f>
        <v>5.3208308500329486E-8</v>
      </c>
      <c r="D10" t="str">
        <f>_xlfn.IFNA(VLOOKUP(B10,Calls!$F$1:$AN$68,MATCH("Call Price",Puts!$F$1:$AN$1,0),FALSE),"")</f>
        <v/>
      </c>
      <c r="E10">
        <f>VLOOKUP(B10,Puts!$F$1:$AN$68,MATCH("price",Puts!$F$1:$AN$1,0),FALSE)</f>
        <v>0.28948361299999997</v>
      </c>
      <c r="F10" t="str">
        <f>_xlfn.IFNA(VLOOKUP(B10,Calls!$F$1:$AN$68,MATCH("price",Puts!$F$1:$AN$1,0),FALSE),"")</f>
        <v/>
      </c>
    </row>
    <row r="11" spans="2:6" x14ac:dyDescent="0.25">
      <c r="B11">
        <v>3675</v>
      </c>
      <c r="C11">
        <f>VLOOKUP(B11,Puts!$F$1:$AN$68,MATCH("Put Price",Puts!$F$1:$AN$1,0),FALSE)</f>
        <v>1.4499067630176644E-7</v>
      </c>
      <c r="D11" t="str">
        <f>_xlfn.IFNA(VLOOKUP(B11,Calls!$F$1:$AN$68,MATCH("Call Price",Puts!$F$1:$AN$1,0),FALSE),"")</f>
        <v/>
      </c>
      <c r="E11">
        <f>VLOOKUP(B11,Puts!$F$1:$AN$68,MATCH("price",Puts!$F$1:$AN$1,0),FALSE)</f>
        <v>0.31263040800000003</v>
      </c>
      <c r="F11" t="str">
        <f>_xlfn.IFNA(VLOOKUP(B11,Calls!$F$1:$AN$68,MATCH("price",Puts!$F$1:$AN$1,0),FALSE),"")</f>
        <v/>
      </c>
    </row>
    <row r="12" spans="2:6" x14ac:dyDescent="0.25">
      <c r="B12">
        <v>3700</v>
      </c>
      <c r="C12">
        <f>VLOOKUP(B12,Puts!$F$1:$AN$68,MATCH("Put Price",Puts!$F$1:$AN$1,0),FALSE)</f>
        <v>3.8271842970300049E-7</v>
      </c>
      <c r="D12" t="str">
        <f>_xlfn.IFNA(VLOOKUP(B12,Calls!$F$1:$AN$68,MATCH("Call Price",Puts!$F$1:$AN$1,0),FALSE),"")</f>
        <v/>
      </c>
      <c r="E12">
        <f>VLOOKUP(B12,Puts!$F$1:$AN$68,MATCH("price",Puts!$F$1:$AN$1,0),FALSE)</f>
        <v>0.336638308</v>
      </c>
      <c r="F12" t="str">
        <f>_xlfn.IFNA(VLOOKUP(B12,Calls!$F$1:$AN$68,MATCH("price",Puts!$F$1:$AN$1,0),FALSE),"")</f>
        <v/>
      </c>
    </row>
    <row r="13" spans="2:6" x14ac:dyDescent="0.25">
      <c r="B13">
        <v>3725</v>
      </c>
      <c r="C13">
        <f>VLOOKUP(B13,Puts!$F$1:$AN$68,MATCH("Put Price",Puts!$F$1:$AN$1,0),FALSE)</f>
        <v>9.7922420830780883E-7</v>
      </c>
      <c r="D13" t="str">
        <f>_xlfn.IFNA(VLOOKUP(B13,Calls!$F$1:$AN$68,MATCH("Call Price",Puts!$F$1:$AN$1,0),FALSE),"")</f>
        <v/>
      </c>
      <c r="E13">
        <f>VLOOKUP(B13,Puts!$F$1:$AN$68,MATCH("price",Puts!$F$1:$AN$1,0),FALSE)</f>
        <v>0.36336156800000002</v>
      </c>
      <c r="F13" t="str">
        <f>_xlfn.IFNA(VLOOKUP(B13,Calls!$F$1:$AN$68,MATCH("price",Puts!$F$1:$AN$1,0),FALSE),"")</f>
        <v/>
      </c>
    </row>
    <row r="14" spans="2:6" x14ac:dyDescent="0.25">
      <c r="B14">
        <v>3750</v>
      </c>
      <c r="C14">
        <f>VLOOKUP(B14,Puts!$F$1:$AN$68,MATCH("Put Price",Puts!$F$1:$AN$1,0),FALSE)</f>
        <v>2.430119559779871E-6</v>
      </c>
      <c r="D14" t="str">
        <f>_xlfn.IFNA(VLOOKUP(B14,Calls!$F$1:$AN$68,MATCH("Call Price",Puts!$F$1:$AN$1,0),FALSE),"")</f>
        <v/>
      </c>
      <c r="E14">
        <f>VLOOKUP(B14,Puts!$F$1:$AN$68,MATCH("price",Puts!$F$1:$AN$1,0),FALSE)</f>
        <v>0.39522628999999998</v>
      </c>
      <c r="F14" t="str">
        <f>_xlfn.IFNA(VLOOKUP(B14,Calls!$F$1:$AN$68,MATCH("price",Puts!$F$1:$AN$1,0),FALSE),"")</f>
        <v/>
      </c>
    </row>
    <row r="15" spans="2:6" x14ac:dyDescent="0.25">
      <c r="B15">
        <v>3775</v>
      </c>
      <c r="C15">
        <f>VLOOKUP(B15,Puts!$F$1:$AN$68,MATCH("Put Price",Puts!$F$1:$AN$1,0),FALSE)</f>
        <v>5.8531529662607515E-6</v>
      </c>
      <c r="D15" t="str">
        <f>_xlfn.IFNA(VLOOKUP(B15,Calls!$F$1:$AN$68,MATCH("Call Price",Puts!$F$1:$AN$1,0),FALSE),"")</f>
        <v/>
      </c>
      <c r="E15">
        <f>VLOOKUP(B15,Puts!$F$1:$AN$68,MATCH("price",Puts!$F$1:$AN$1,0),FALSE)</f>
        <v>0.433188833</v>
      </c>
      <c r="F15" t="str">
        <f>_xlfn.IFNA(VLOOKUP(B15,Calls!$F$1:$AN$68,MATCH("price",Puts!$F$1:$AN$1,0),FALSE),"")</f>
        <v/>
      </c>
    </row>
    <row r="16" spans="2:6" x14ac:dyDescent="0.25">
      <c r="B16">
        <v>3800</v>
      </c>
      <c r="C16">
        <f>VLOOKUP(B16,Puts!$F$1:$AN$68,MATCH("Put Price",Puts!$F$1:$AN$1,0),FALSE)</f>
        <v>1.3691083426984642E-5</v>
      </c>
      <c r="D16" t="str">
        <f>_xlfn.IFNA(VLOOKUP(B16,Calls!$F$1:$AN$68,MATCH("Call Price",Puts!$F$1:$AN$1,0),FALSE),"")</f>
        <v/>
      </c>
      <c r="E16">
        <f>VLOOKUP(B16,Puts!$F$1:$AN$68,MATCH("price",Puts!$F$1:$AN$1,0),FALSE)</f>
        <v>0.47842179499999998</v>
      </c>
      <c r="F16" t="str">
        <f>_xlfn.IFNA(VLOOKUP(B16,Calls!$F$1:$AN$68,MATCH("price",Puts!$F$1:$AN$1,0),FALSE),"")</f>
        <v/>
      </c>
    </row>
    <row r="17" spans="2:6" x14ac:dyDescent="0.25">
      <c r="B17">
        <v>3825</v>
      </c>
      <c r="C17">
        <f>VLOOKUP(B17,Puts!$F$1:$AN$68,MATCH("Put Price",Puts!$F$1:$AN$1,0),FALSE)</f>
        <v>3.1119718927135297E-5</v>
      </c>
      <c r="D17" t="str">
        <f>_xlfn.IFNA(VLOOKUP(B17,Calls!$F$1:$AN$68,MATCH("Call Price",Puts!$F$1:$AN$1,0),FALSE),"")</f>
        <v/>
      </c>
      <c r="E17">
        <f>VLOOKUP(B17,Puts!$F$1:$AN$68,MATCH("price",Puts!$F$1:$AN$1,0),FALSE)</f>
        <v>0.52821476099999998</v>
      </c>
      <c r="F17" t="str">
        <f>_xlfn.IFNA(VLOOKUP(B17,Calls!$F$1:$AN$68,MATCH("price",Puts!$F$1:$AN$1,0),FALSE),"")</f>
        <v/>
      </c>
    </row>
    <row r="18" spans="2:6" x14ac:dyDescent="0.25">
      <c r="B18">
        <v>3850</v>
      </c>
      <c r="C18">
        <f>VLOOKUP(B18,Puts!$F$1:$AN$68,MATCH("Put Price",Puts!$F$1:$AN$1,0),FALSE)</f>
        <v>6.8776976536941148E-5</v>
      </c>
      <c r="D18" t="str">
        <f>_xlfn.IFNA(VLOOKUP(B18,Calls!$F$1:$AN$68,MATCH("Call Price",Puts!$F$1:$AN$1,0),FALSE),"")</f>
        <v/>
      </c>
      <c r="E18">
        <f>VLOOKUP(B18,Puts!$F$1:$AN$68,MATCH("price",Puts!$F$1:$AN$1,0),FALSE)</f>
        <v>0.57856918199999996</v>
      </c>
      <c r="F18" t="str">
        <f>_xlfn.IFNA(VLOOKUP(B18,Calls!$F$1:$AN$68,MATCH("price",Puts!$F$1:$AN$1,0),FALSE),"")</f>
        <v/>
      </c>
    </row>
    <row r="19" spans="2:6" x14ac:dyDescent="0.25">
      <c r="B19">
        <v>3875</v>
      </c>
      <c r="C19">
        <f>VLOOKUP(B19,Puts!$F$1:$AN$68,MATCH("Put Price",Puts!$F$1:$AN$1,0),FALSE)</f>
        <v>1.4788203658543456E-4</v>
      </c>
      <c r="D19" t="str">
        <f>_xlfn.IFNA(VLOOKUP(B19,Calls!$F$1:$AN$68,MATCH("Call Price",Puts!$F$1:$AN$1,0),FALSE),"")</f>
        <v/>
      </c>
      <c r="E19">
        <f>VLOOKUP(B19,Puts!$F$1:$AN$68,MATCH("price",Puts!$F$1:$AN$1,0),FALSE)</f>
        <v>0.62887853599999999</v>
      </c>
      <c r="F19" t="str">
        <f>_xlfn.IFNA(VLOOKUP(B19,Calls!$F$1:$AN$68,MATCH("price",Puts!$F$1:$AN$1,0),FALSE),"")</f>
        <v/>
      </c>
    </row>
    <row r="20" spans="2:6" x14ac:dyDescent="0.25">
      <c r="B20">
        <v>3900</v>
      </c>
      <c r="C20">
        <f>VLOOKUP(B20,Puts!$F$1:$AN$68,MATCH("Put Price",Puts!$F$1:$AN$1,0),FALSE)</f>
        <v>3.0953089350728435E-4</v>
      </c>
      <c r="D20" t="str">
        <f>_xlfn.IFNA(VLOOKUP(B20,Calls!$F$1:$AN$68,MATCH("Call Price",Puts!$F$1:$AN$1,0),FALSE),"")</f>
        <v/>
      </c>
      <c r="E20">
        <f>VLOOKUP(B20,Puts!$F$1:$AN$68,MATCH("price",Puts!$F$1:$AN$1,0),FALSE)</f>
        <v>0.67849021300000001</v>
      </c>
      <c r="F20" t="str">
        <f>_xlfn.IFNA(VLOOKUP(B20,Calls!$F$1:$AN$68,MATCH("price",Puts!$F$1:$AN$1,0),FALSE),"")</f>
        <v/>
      </c>
    </row>
    <row r="21" spans="2:6" x14ac:dyDescent="0.25">
      <c r="B21">
        <v>3925</v>
      </c>
      <c r="C21">
        <f>VLOOKUP(B21,Puts!$F$1:$AN$68,MATCH("Put Price",Puts!$F$1:$AN$1,0),FALSE)</f>
        <v>6.3103915518820941E-4</v>
      </c>
      <c r="D21" t="str">
        <f>_xlfn.IFNA(VLOOKUP(B21,Calls!$F$1:$AN$68,MATCH("Call Price",Puts!$F$1:$AN$1,0),FALSE),"")</f>
        <v/>
      </c>
      <c r="E21">
        <f>VLOOKUP(B21,Puts!$F$1:$AN$68,MATCH("price",Puts!$F$1:$AN$1,0),FALSE)</f>
        <v>0.72971641200000004</v>
      </c>
      <c r="F21" t="str">
        <f>_xlfn.IFNA(VLOOKUP(B21,Calls!$F$1:$AN$68,MATCH("price",Puts!$F$1:$AN$1,0),FALSE),"")</f>
        <v/>
      </c>
    </row>
    <row r="22" spans="2:6" x14ac:dyDescent="0.25">
      <c r="B22">
        <v>3950</v>
      </c>
      <c r="C22">
        <f>VLOOKUP(B22,Puts!$F$1:$AN$68,MATCH("Put Price",Puts!$F$1:$AN$1,0),FALSE)</f>
        <v>1.2537653372510227E-3</v>
      </c>
      <c r="D22" t="str">
        <f>_xlfn.IFNA(VLOOKUP(B22,Calls!$F$1:$AN$68,MATCH("Call Price",Puts!$F$1:$AN$1,0),FALSE),"")</f>
        <v/>
      </c>
      <c r="E22">
        <f>VLOOKUP(B22,Puts!$F$1:$AN$68,MATCH("price",Puts!$F$1:$AN$1,0),FALSE)</f>
        <v>0.78569393399999998</v>
      </c>
      <c r="F22" t="str">
        <f>_xlfn.IFNA(VLOOKUP(B22,Calls!$F$1:$AN$68,MATCH("price",Puts!$F$1:$AN$1,0),FALSE),"")</f>
        <v/>
      </c>
    </row>
    <row r="23" spans="2:6" x14ac:dyDescent="0.25">
      <c r="B23">
        <v>3975</v>
      </c>
      <c r="C23">
        <f>VLOOKUP(B23,Puts!$F$1:$AN$68,MATCH("Put Price",Puts!$F$1:$AN$1,0),FALSE)</f>
        <v>2.4289828004622482E-3</v>
      </c>
      <c r="D23" t="str">
        <f>_xlfn.IFNA(VLOOKUP(B23,Calls!$F$1:$AN$68,MATCH("Call Price",Puts!$F$1:$AN$1,0),FALSE),"")</f>
        <v/>
      </c>
      <c r="E23">
        <f>VLOOKUP(B23,Puts!$F$1:$AN$68,MATCH("price",Puts!$F$1:$AN$1,0),FALSE)</f>
        <v>0.84704551800000005</v>
      </c>
      <c r="F23" t="str">
        <f>_xlfn.IFNA(VLOOKUP(B23,Calls!$F$1:$AN$68,MATCH("price",Puts!$F$1:$AN$1,0),FALSE),"")</f>
        <v/>
      </c>
    </row>
    <row r="24" spans="2:6" x14ac:dyDescent="0.25">
      <c r="B24">
        <v>4000</v>
      </c>
      <c r="C24">
        <f>VLOOKUP(B24,Puts!$F$1:$AN$68,MATCH("Put Price",Puts!$F$1:$AN$1,0),FALSE)</f>
        <v>4.5911168282021242E-3</v>
      </c>
      <c r="D24" t="str">
        <f>_xlfn.IFNA(VLOOKUP(B24,Calls!$F$1:$AN$68,MATCH("Call Price",Puts!$F$1:$AN$1,0),FALSE),"")</f>
        <v/>
      </c>
      <c r="E24">
        <f>VLOOKUP(B24,Puts!$F$1:$AN$68,MATCH("price",Puts!$F$1:$AN$1,0),FALSE)</f>
        <v>0.91450210499999995</v>
      </c>
      <c r="F24" t="str">
        <f>_xlfn.IFNA(VLOOKUP(B24,Calls!$F$1:$AN$68,MATCH("price",Puts!$F$1:$AN$1,0),FALSE),"")</f>
        <v/>
      </c>
    </row>
    <row r="25" spans="2:6" x14ac:dyDescent="0.25">
      <c r="B25">
        <v>4025</v>
      </c>
      <c r="C25">
        <f>VLOOKUP(B25,Puts!$F$1:$AN$68,MATCH("Put Price",Puts!$F$1:$AN$1,0),FALSE)</f>
        <v>8.4709598030057176E-3</v>
      </c>
      <c r="D25" t="str">
        <f>_xlfn.IFNA(VLOOKUP(B25,Calls!$F$1:$AN$68,MATCH("Call Price",Puts!$F$1:$AN$1,0),FALSE),"")</f>
        <v/>
      </c>
      <c r="E25">
        <f>VLOOKUP(B25,Puts!$F$1:$AN$68,MATCH("price",Puts!$F$1:$AN$1,0),FALSE)</f>
        <v>0.98892581499999999</v>
      </c>
      <c r="F25" t="str">
        <f>_xlfn.IFNA(VLOOKUP(B25,Calls!$F$1:$AN$68,MATCH("price",Puts!$F$1:$AN$1,0),FALSE),"")</f>
        <v/>
      </c>
    </row>
    <row r="26" spans="2:6" x14ac:dyDescent="0.25">
      <c r="B26">
        <v>4050</v>
      </c>
      <c r="C26">
        <f>VLOOKUP(B26,Puts!$F$1:$AN$68,MATCH("Put Price",Puts!$F$1:$AN$1,0),FALSE)</f>
        <v>1.5265088204122534E-2</v>
      </c>
      <c r="D26" t="str">
        <f>_xlfn.IFNA(VLOOKUP(B26,Calls!$F$1:$AN$68,MATCH("Call Price",Puts!$F$1:$AN$1,0),FALSE),"")</f>
        <v/>
      </c>
      <c r="E26">
        <f>VLOOKUP(B26,Puts!$F$1:$AN$68,MATCH("price",Puts!$F$1:$AN$1,0),FALSE)</f>
        <v>1.071338685</v>
      </c>
      <c r="F26" t="str">
        <f>_xlfn.IFNA(VLOOKUP(B26,Calls!$F$1:$AN$68,MATCH("price",Puts!$F$1:$AN$1,0),FALSE),"")</f>
        <v/>
      </c>
    </row>
    <row r="27" spans="2:6" x14ac:dyDescent="0.25">
      <c r="B27">
        <v>4075</v>
      </c>
      <c r="C27">
        <f>VLOOKUP(B27,Puts!$F$1:$AN$68,MATCH("Put Price",Puts!$F$1:$AN$1,0),FALSE)</f>
        <v>2.6881167827685903E-2</v>
      </c>
      <c r="D27" t="str">
        <f>_xlfn.IFNA(VLOOKUP(B27,Calls!$F$1:$AN$68,MATCH("Call Price",Puts!$F$1:$AN$1,0),FALSE),"")</f>
        <v/>
      </c>
      <c r="E27">
        <f>VLOOKUP(B27,Puts!$F$1:$AN$68,MATCH("price",Puts!$F$1:$AN$1,0),FALSE)</f>
        <v>1.162958859</v>
      </c>
      <c r="F27" t="str">
        <f>_xlfn.IFNA(VLOOKUP(B27,Calls!$F$1:$AN$68,MATCH("price",Puts!$F$1:$AN$1,0),FALSE),"")</f>
        <v/>
      </c>
    </row>
    <row r="28" spans="2:6" x14ac:dyDescent="0.25">
      <c r="B28">
        <v>4100</v>
      </c>
      <c r="C28">
        <f>VLOOKUP(B28,Puts!$F$1:$AN$68,MATCH("Put Price",Puts!$F$1:$AN$1,0),FALSE)</f>
        <v>4.6281418203318658E-2</v>
      </c>
      <c r="D28" t="str">
        <f>_xlfn.IFNA(VLOOKUP(B28,Calls!$F$1:$AN$68,MATCH("Call Price",Puts!$F$1:$AN$1,0),FALSE),"")</f>
        <v/>
      </c>
      <c r="E28">
        <f>VLOOKUP(B28,Puts!$F$1:$AN$68,MATCH("price",Puts!$F$1:$AN$1,0),FALSE)</f>
        <v>1.265246474</v>
      </c>
      <c r="F28" t="str">
        <f>_xlfn.IFNA(VLOOKUP(B28,Calls!$F$1:$AN$68,MATCH("price",Puts!$F$1:$AN$1,0),FALSE),"")</f>
        <v/>
      </c>
    </row>
    <row r="29" spans="2:6" x14ac:dyDescent="0.25">
      <c r="B29">
        <v>4125</v>
      </c>
      <c r="C29">
        <f>VLOOKUP(B29,Puts!$F$1:$AN$68,MATCH("Put Price",Puts!$F$1:$AN$1,0),FALSE)</f>
        <v>7.794722208039051E-2</v>
      </c>
      <c r="D29" t="str">
        <f>_xlfn.IFNA(VLOOKUP(B29,Calls!$F$1:$AN$68,MATCH("Call Price",Puts!$F$1:$AN$1,0),FALSE),"")</f>
        <v/>
      </c>
      <c r="E29">
        <f>VLOOKUP(B29,Puts!$F$1:$AN$68,MATCH("price",Puts!$F$1:$AN$1,0),FALSE)</f>
        <v>1.3799743289999999</v>
      </c>
      <c r="F29" t="str">
        <f>_xlfn.IFNA(VLOOKUP(B29,Calls!$F$1:$AN$68,MATCH("price",Puts!$F$1:$AN$1,0),FALSE),"")</f>
        <v/>
      </c>
    </row>
    <row r="30" spans="2:6" x14ac:dyDescent="0.25">
      <c r="B30">
        <v>4150</v>
      </c>
      <c r="C30">
        <f>VLOOKUP(B30,Puts!$F$1:$AN$68,MATCH("Put Price",Puts!$F$1:$AN$1,0),FALSE)</f>
        <v>0.12848553368501037</v>
      </c>
      <c r="D30" t="str">
        <f>_xlfn.IFNA(VLOOKUP(B30,Calls!$F$1:$AN$68,MATCH("Call Price",Puts!$F$1:$AN$1,0),FALSE),"")</f>
        <v/>
      </c>
      <c r="E30">
        <f>VLOOKUP(B30,Puts!$F$1:$AN$68,MATCH("price",Puts!$F$1:$AN$1,0),FALSE)</f>
        <v>1.5092955589999999</v>
      </c>
      <c r="F30" t="str">
        <f>_xlfn.IFNA(VLOOKUP(B30,Calls!$F$1:$AN$68,MATCH("price",Puts!$F$1:$AN$1,0),FALSE),"")</f>
        <v/>
      </c>
    </row>
    <row r="31" spans="2:6" x14ac:dyDescent="0.25">
      <c r="B31">
        <v>4175</v>
      </c>
      <c r="C31">
        <f>VLOOKUP(B31,Puts!$F$1:$AN$68,MATCH("Put Price",Puts!$F$1:$AN$1,0),FALSE)</f>
        <v>0.20739115927097984</v>
      </c>
      <c r="D31" t="str">
        <f>_xlfn.IFNA(VLOOKUP(B31,Calls!$F$1:$AN$68,MATCH("Call Price",Puts!$F$1:$AN$1,0),FALSE),"")</f>
        <v/>
      </c>
      <c r="E31">
        <f>VLOOKUP(B31,Puts!$F$1:$AN$68,MATCH("price",Puts!$F$1:$AN$1,0),FALSE)</f>
        <v>1.6558282200000001</v>
      </c>
      <c r="F31" t="str">
        <f>_xlfn.IFNA(VLOOKUP(B31,Calls!$F$1:$AN$68,MATCH("price",Puts!$F$1:$AN$1,0),FALSE),"")</f>
        <v/>
      </c>
    </row>
    <row r="32" spans="2:6" x14ac:dyDescent="0.25">
      <c r="B32">
        <v>4200</v>
      </c>
      <c r="C32">
        <f>VLOOKUP(B32,Puts!$F$1:$AN$68,MATCH("Put Price",Puts!$F$1:$AN$1,0),FALSE)</f>
        <v>0.32796718002771286</v>
      </c>
      <c r="D32">
        <f>_xlfn.IFNA(VLOOKUP(B32,Calls!$F$1:$AN$68,MATCH("Call Price",Puts!$F$1:$AN$1,0),FALSE),"")</f>
        <v>470.79992749866778</v>
      </c>
      <c r="E32">
        <f>VLOOKUP(B32,Puts!$F$1:$AN$68,MATCH("price",Puts!$F$1:$AN$1,0),FALSE)</f>
        <v>1.82279357</v>
      </c>
      <c r="F32">
        <f>_xlfn.IFNA(VLOOKUP(B32,Calls!$F$1:$AN$68,MATCH("price",Puts!$F$1:$AN$1,0),FALSE),"")</f>
        <v>450.19438450000001</v>
      </c>
    </row>
    <row r="33" spans="2:6" x14ac:dyDescent="0.25">
      <c r="B33">
        <v>4225</v>
      </c>
      <c r="C33">
        <f>VLOOKUP(B33,Puts!$F$1:$AN$68,MATCH("Put Price",Puts!$F$1:$AN$1,0),FALSE)</f>
        <v>0.50838832276916435</v>
      </c>
      <c r="D33">
        <f>_xlfn.IFNA(VLOOKUP(B33,Calls!$F$1:$AN$68,MATCH("Call Price",Puts!$F$1:$AN$1,0),FALSE),"")</f>
        <v>446.02184840521022</v>
      </c>
      <c r="E33">
        <f>VLOOKUP(B33,Puts!$F$1:$AN$68,MATCH("price",Puts!$F$1:$AN$1,0),FALSE)</f>
        <v>2.018903527</v>
      </c>
      <c r="F33">
        <f>_xlfn.IFNA(VLOOKUP(B33,Calls!$F$1:$AN$68,MATCH("price",Puts!$F$1:$AN$1,0),FALSE),"")</f>
        <v>425.43441580000001</v>
      </c>
    </row>
    <row r="34" spans="2:6" x14ac:dyDescent="0.25">
      <c r="B34">
        <v>4250</v>
      </c>
      <c r="C34">
        <f>VLOOKUP(B34,Puts!$F$1:$AN$68,MATCH("Put Price",Puts!$F$1:$AN$1,0),FALSE)</f>
        <v>0.77286937910594133</v>
      </c>
      <c r="D34">
        <f>_xlfn.IFNA(VLOOKUP(B34,Calls!$F$1:$AN$68,MATCH("Call Price",Puts!$F$1:$AN$1,0),FALSE),"")</f>
        <v>421.32782922534898</v>
      </c>
      <c r="E34">
        <f>VLOOKUP(B34,Puts!$F$1:$AN$68,MATCH("price",Puts!$F$1:$AN$1,0),FALSE)</f>
        <v>2.2558654090000001</v>
      </c>
      <c r="F34">
        <f>_xlfn.IFNA(VLOOKUP(B34,Calls!$F$1:$AN$68,MATCH("price",Puts!$F$1:$AN$1,0),FALSE),"")</f>
        <v>400.71529909999998</v>
      </c>
    </row>
    <row r="35" spans="2:6" x14ac:dyDescent="0.25">
      <c r="B35">
        <v>4275</v>
      </c>
      <c r="C35">
        <f>VLOOKUP(B35,Puts!$F$1:$AN$68,MATCH("Put Price",Puts!$F$1:$AN$1,0),FALSE)</f>
        <v>1.15287436400655</v>
      </c>
      <c r="D35">
        <f>_xlfn.IFNA(VLOOKUP(B35,Calls!$F$1:$AN$68,MATCH("Call Price",Puts!$F$1:$AN$1,0),FALSE),"")</f>
        <v>396.7493339740513</v>
      </c>
      <c r="E35">
        <f>VLOOKUP(B35,Puts!$F$1:$AN$68,MATCH("price",Puts!$F$1:$AN$1,0),FALSE)</f>
        <v>2.5436774870000001</v>
      </c>
      <c r="F35">
        <f>_xlfn.IFNA(VLOOKUP(B35,Calls!$F$1:$AN$68,MATCH("price",Puts!$F$1:$AN$1,0),FALSE),"")</f>
        <v>376.0470325</v>
      </c>
    </row>
    <row r="36" spans="2:6" x14ac:dyDescent="0.25">
      <c r="B36">
        <v>4300</v>
      </c>
      <c r="C36">
        <f>VLOOKUP(B36,Puts!$F$1:$AN$68,MATCH("Put Price",Puts!$F$1:$AN$1,0),FALSE)</f>
        <v>1.6882747393990485</v>
      </c>
      <c r="D36">
        <f>_xlfn.IFNA(VLOOKUP(B36,Calls!$F$1:$AN$68,MATCH("Call Price",Puts!$F$1:$AN$1,0),FALSE),"")</f>
        <v>372.32623411324494</v>
      </c>
      <c r="E36">
        <f>VLOOKUP(B36,Puts!$F$1:$AN$68,MATCH("price",Puts!$F$1:$AN$1,0),FALSE)</f>
        <v>2.8952266930000001</v>
      </c>
      <c r="F36">
        <f>_xlfn.IFNA(VLOOKUP(B36,Calls!$F$1:$AN$68,MATCH("price",Puts!$F$1:$AN$1,0),FALSE),"")</f>
        <v>351.44250299999999</v>
      </c>
    </row>
    <row r="37" spans="2:6" x14ac:dyDescent="0.25">
      <c r="B37">
        <v>4325</v>
      </c>
      <c r="C37">
        <f>VLOOKUP(B37,Puts!$F$1:$AN$68,MATCH("Put Price",Puts!$F$1:$AN$1,0),FALSE)</f>
        <v>2.4283405416240669</v>
      </c>
      <c r="D37">
        <f>_xlfn.IFNA(VLOOKUP(B37,Calls!$F$1:$AN$68,MATCH("Call Price",Puts!$F$1:$AN$1,0),FALSE),"")</f>
        <v>348.10779967927101</v>
      </c>
      <c r="E37">
        <f>VLOOKUP(B37,Puts!$F$1:$AN$68,MATCH("price",Puts!$F$1:$AN$1,0),FALSE)</f>
        <v>3.3300817070000002</v>
      </c>
      <c r="F37">
        <f>_xlfn.IFNA(VLOOKUP(B37,Calls!$F$1:$AN$68,MATCH("price",Puts!$F$1:$AN$1,0),FALSE),"")</f>
        <v>326.9212794</v>
      </c>
    </row>
    <row r="38" spans="2:6" x14ac:dyDescent="0.25">
      <c r="B38">
        <v>4350</v>
      </c>
      <c r="C38">
        <f>VLOOKUP(B38,Puts!$F$1:$AN$68,MATCH("Put Price",Puts!$F$1:$AN$1,0),FALSE)</f>
        <v>3.4324311582305995</v>
      </c>
      <c r="D38">
        <f>_xlfn.IFNA(VLOOKUP(B38,Calls!$F$1:$AN$68,MATCH("Call Price",Puts!$F$1:$AN$1,0),FALSE),"")</f>
        <v>324.15339005967871</v>
      </c>
      <c r="E38">
        <f>VLOOKUP(B38,Puts!$F$1:$AN$68,MATCH("price",Puts!$F$1:$AN$1,0),FALSE)</f>
        <v>3.8743702369999999</v>
      </c>
      <c r="F38">
        <f>_xlfn.IFNA(VLOOKUP(B38,Calls!$F$1:$AN$68,MATCH("price",Puts!$F$1:$AN$1,0),FALSE),"")</f>
        <v>302.50948929999998</v>
      </c>
    </row>
    <row r="39" spans="2:6" x14ac:dyDescent="0.25">
      <c r="B39">
        <v>4375</v>
      </c>
      <c r="C39">
        <f>VLOOKUP(B39,Puts!$F$1:$AN$68,MATCH("Put Price",Puts!$F$1:$AN$1,0),FALSE)</f>
        <v>4.7702473361885041</v>
      </c>
      <c r="D39">
        <f>_xlfn.IFNA(VLOOKUP(B39,Calls!$F$1:$AN$68,MATCH("Call Price",Puts!$F$1:$AN$1,0),FALSE),"")</f>
        <v>300.53270600143878</v>
      </c>
      <c r="E39">
        <f>VLOOKUP(B39,Puts!$F$1:$AN$68,MATCH("price",Puts!$F$1:$AN$1,0),FALSE)</f>
        <v>4.5593718379999997</v>
      </c>
      <c r="F39">
        <f>_xlfn.IFNA(VLOOKUP(B39,Calls!$F$1:$AN$68,MATCH("price",Puts!$F$1:$AN$1,0),FALSE),"")</f>
        <v>278.23841220000003</v>
      </c>
    </row>
    <row r="40" spans="2:6" x14ac:dyDescent="0.25">
      <c r="B40">
        <v>4400</v>
      </c>
      <c r="C40">
        <f>VLOOKUP(B40,Puts!$F$1:$AN$68,MATCH("Put Price",Puts!$F$1:$AN$1,0),FALSE)</f>
        <v>6.5215164942421211</v>
      </c>
      <c r="D40">
        <f>_xlfn.IFNA(VLOOKUP(B40,Calls!$F$1:$AN$68,MATCH("Call Price",Puts!$F$1:$AN$1,0),FALSE),"")</f>
        <v>277.32547492329286</v>
      </c>
      <c r="E40">
        <f>VLOOKUP(B40,Puts!$F$1:$AN$68,MATCH("price",Puts!$F$1:$AN$1,0),FALSE)</f>
        <v>5.4261362159999997</v>
      </c>
      <c r="F40">
        <f>_xlfn.IFNA(VLOOKUP(B40,Calls!$F$1:$AN$68,MATCH("price",Puts!$F$1:$AN$1,0),FALSE),"")</f>
        <v>254.14909800000001</v>
      </c>
    </row>
    <row r="41" spans="2:6" x14ac:dyDescent="0.25">
      <c r="B41">
        <v>4425</v>
      </c>
      <c r="C41">
        <f>VLOOKUP(B41,Puts!$F$1:$AN$68,MATCH("Put Price",Puts!$F$1:$AN$1,0),FALSE)</f>
        <v>8.7750116072716082</v>
      </c>
      <c r="D41">
        <f>_xlfn.IFNA(VLOOKUP(B41,Calls!$F$1:$AN$68,MATCH("Call Price",Puts!$F$1:$AN$1,0),FALSE),"")</f>
        <v>254.62046980012428</v>
      </c>
      <c r="E41">
        <f>VLOOKUP(B41,Puts!$F$1:$AN$68,MATCH("price",Puts!$F$1:$AN$1,0),FALSE)</f>
        <v>6.5284766210000003</v>
      </c>
      <c r="F41">
        <f>_xlfn.IFNA(VLOOKUP(B41,Calls!$F$1:$AN$68,MATCH("price",Puts!$F$1:$AN$1,0),FALSE),"")</f>
        <v>230.29535970000001</v>
      </c>
    </row>
    <row r="42" spans="2:6" x14ac:dyDescent="0.25">
      <c r="B42">
        <v>4450</v>
      </c>
      <c r="C42">
        <f>VLOOKUP(B42,Puts!$F$1:$AN$68,MATCH("Put Price",Puts!$F$1:$AN$1,0),FALSE)</f>
        <v>11.626849499934565</v>
      </c>
      <c r="D42">
        <f>_xlfn.IFNA(VLOOKUP(B42,Calls!$F$1:$AN$68,MATCH("Call Price",Puts!$F$1:$AN$1,0),FALSE),"")</f>
        <v>232.51380745658935</v>
      </c>
      <c r="E42">
        <f>VLOOKUP(B42,Puts!$F$1:$AN$68,MATCH("price",Puts!$F$1:$AN$1,0),FALSE)</f>
        <v>7.9367048880000004</v>
      </c>
      <c r="F42">
        <f>_xlfn.IFNA(VLOOKUP(B42,Calls!$F$1:$AN$68,MATCH("price",Puts!$F$1:$AN$1,0),FALSE),"")</f>
        <v>206.74750929999999</v>
      </c>
    </row>
    <row r="43" spans="2:6" x14ac:dyDescent="0.25">
      <c r="B43">
        <v>4475</v>
      </c>
      <c r="C43">
        <f>VLOOKUP(B43,Puts!$F$1:$AN$68,MATCH("Put Price",Puts!$F$1:$AN$1,0),FALSE)</f>
        <v>15.178074247433756</v>
      </c>
      <c r="D43">
        <f>_xlfn.IFNA(VLOOKUP(B43,Calls!$F$1:$AN$68,MATCH("Call Price",Puts!$F$1:$AN$1,0),FALSE),"")</f>
        <v>211.10653196788871</v>
      </c>
      <c r="E43">
        <f>VLOOKUP(B43,Puts!$F$1:$AN$68,MATCH("price",Puts!$F$1:$AN$1,0),FALSE)</f>
        <v>9.742124939</v>
      </c>
      <c r="F43">
        <f>_xlfn.IFNA(VLOOKUP(B43,Calls!$F$1:$AN$68,MATCH("price",Puts!$F$1:$AN$1,0),FALSE),"")</f>
        <v>183.5968507</v>
      </c>
    </row>
    <row r="44" spans="2:6" x14ac:dyDescent="0.25">
      <c r="B44">
        <v>4500</v>
      </c>
      <c r="C44">
        <f>VLOOKUP(B44,Puts!$F$1:$AN$68,MATCH("Put Price",Puts!$F$1:$AN$1,0),FALSE)</f>
        <v>19.531599792153202</v>
      </c>
      <c r="D44">
        <f>_xlfn.IFNA(VLOOKUP(B44,Calls!$F$1:$AN$68,MATCH("Call Price",Puts!$F$1:$AN$1,0),FALSE),"")</f>
        <v>190.50155727641004</v>
      </c>
      <c r="E44">
        <f>VLOOKUP(B44,Puts!$F$1:$AN$68,MATCH("price",Puts!$F$1:$AN$1,0),FALSE)</f>
        <v>12.06214363</v>
      </c>
      <c r="F44">
        <f>_xlfn.IFNA(VLOOKUP(B44,Calls!$F$1:$AN$68,MATCH("price",Puts!$F$1:$AN$1,0),FALSE),"")</f>
        <v>160.96079080000001</v>
      </c>
    </row>
    <row r="45" spans="2:6" x14ac:dyDescent="0.25">
      <c r="B45">
        <v>4525</v>
      </c>
      <c r="C45">
        <f>VLOOKUP(B45,Puts!$F$1:$AN$68,MATCH("Put Price",Puts!$F$1:$AN$1,0),FALSE)</f>
        <v>24.78865505467661</v>
      </c>
      <c r="D45">
        <f>_xlfn.IFNA(VLOOKUP(B45,Calls!$F$1:$AN$68,MATCH("Call Price",Puts!$F$1:$AN$1,0),FALSE),"")</f>
        <v>170.80011230273522</v>
      </c>
      <c r="E45">
        <f>VLOOKUP(B45,Puts!$F$1:$AN$68,MATCH("price",Puts!$F$1:$AN$1,0),FALSE)</f>
        <v>15.0455664</v>
      </c>
      <c r="F45">
        <f>_xlfn.IFNA(VLOOKUP(B45,Calls!$F$1:$AN$68,MATCH("price",Puts!$F$1:$AN$1,0),FALSE),"")</f>
        <v>138.98813490000001</v>
      </c>
    </row>
    <row r="46" spans="2:6" x14ac:dyDescent="0.25">
      <c r="B46">
        <v>4550</v>
      </c>
      <c r="C46">
        <f>VLOOKUP(B46,Puts!$F$1:$AN$68,MATCH("Put Price",Puts!$F$1:$AN$1,0),FALSE)</f>
        <v>31.044935960227122</v>
      </c>
      <c r="D46">
        <f>_xlfn.IFNA(VLOOKUP(B46,Calls!$F$1:$AN$68,MATCH("Call Price",Puts!$F$1:$AN$1,0),FALSE),"")</f>
        <v>152.09789297208681</v>
      </c>
      <c r="E46">
        <f>VLOOKUP(B46,Puts!$F$1:$AN$68,MATCH("price",Puts!$F$1:$AN$1,0),FALSE)</f>
        <v>18.909409459999999</v>
      </c>
      <c r="F46">
        <f>_xlfn.IFNA(VLOOKUP(B46,Calls!$F$1:$AN$68,MATCH("price",Puts!$F$1:$AN$1,0),FALSE),"")</f>
        <v>117.8958993</v>
      </c>
    </row>
    <row r="47" spans="2:6" x14ac:dyDescent="0.25">
      <c r="B47">
        <v>4575</v>
      </c>
      <c r="C47">
        <f>VLOOKUP(B47,Puts!$F$1:$AN$68,MATCH("Put Price",Puts!$F$1:$AN$1,0),FALSE)</f>
        <v>38.386713472932342</v>
      </c>
      <c r="D47">
        <f>_xlfn.IFNA(VLOOKUP(B47,Calls!$F$1:$AN$68,MATCH("Call Price",Puts!$F$1:$AN$1,0),FALSE),"")</f>
        <v>134.48117024859448</v>
      </c>
      <c r="E47">
        <f>VLOOKUP(B47,Puts!$F$1:$AN$68,MATCH("price",Puts!$F$1:$AN$1,0),FALSE)</f>
        <v>23.922661860000002</v>
      </c>
      <c r="F47">
        <f>_xlfn.IFNA(VLOOKUP(B47,Calls!$F$1:$AN$68,MATCH("price",Puts!$F$1:$AN$1,0),FALSE),"")</f>
        <v>97.953073029999999</v>
      </c>
    </row>
    <row r="48" spans="2:6" x14ac:dyDescent="0.25">
      <c r="B48">
        <v>4600</v>
      </c>
      <c r="C48">
        <f>VLOOKUP(B48,Puts!$F$1:$AN$68,MATCH("Put Price",Puts!$F$1:$AN$1,0),FALSE)</f>
        <v>46.887168205109219</v>
      </c>
      <c r="D48">
        <f>_xlfn.IFNA(VLOOKUP(B48,Calls!$F$1:$AN$68,MATCH("Call Price",Puts!$F$1:$AN$1,0),FALSE),"")</f>
        <v>118.02312474457131</v>
      </c>
      <c r="E48">
        <f>VLOOKUP(B48,Puts!$F$1:$AN$68,MATCH("price",Puts!$F$1:$AN$1,0),FALSE)</f>
        <v>30.360499000000001</v>
      </c>
      <c r="F48">
        <f>_xlfn.IFNA(VLOOKUP(B48,Calls!$F$1:$AN$68,MATCH("price",Puts!$F$1:$AN$1,0),FALSE),"")</f>
        <v>79.434831520000003</v>
      </c>
    </row>
    <row r="49" spans="2:6" x14ac:dyDescent="0.25">
      <c r="B49">
        <v>4625</v>
      </c>
      <c r="C49">
        <f>VLOOKUP(B49,Puts!$F$1:$AN$68,MATCH("Put Price",Puts!$F$1:$AN$1,0),FALSE)</f>
        <v>56.603216592865465</v>
      </c>
      <c r="D49">
        <f>_xlfn.IFNA(VLOOKUP(B49,Calls!$F$1:$AN$68,MATCH("Call Price",Puts!$F$1:$AN$1,0),FALSE),"")</f>
        <v>102.78067289613</v>
      </c>
      <c r="E49">
        <f>VLOOKUP(B49,Puts!$F$1:$AN$68,MATCH("price",Puts!$F$1:$AN$1,0),FALSE)</f>
        <v>38.510762970000002</v>
      </c>
      <c r="F49">
        <f>_xlfn.IFNA(VLOOKUP(B49,Calls!$F$1:$AN$68,MATCH("price",Puts!$F$1:$AN$1,0),FALSE),"")</f>
        <v>62.629016839999998</v>
      </c>
    </row>
    <row r="50" spans="2:6" x14ac:dyDescent="0.25">
      <c r="B50">
        <v>4650</v>
      </c>
      <c r="C50">
        <f>VLOOKUP(B50,Puts!$F$1:$AN$68,MATCH("Put Price",Puts!$F$1:$AN$1,0),FALSE)</f>
        <v>67.573060720997091</v>
      </c>
      <c r="D50">
        <f>_xlfn.IFNA(VLOOKUP(B50,Calls!$F$1:$AN$68,MATCH("Call Price",Puts!$F$1:$AN$1,0),FALSE),"")</f>
        <v>88.792016788062938</v>
      </c>
      <c r="E50">
        <f>VLOOKUP(B50,Puts!$F$1:$AN$68,MATCH("price",Puts!$F$1:$AN$1,0),FALSE)</f>
        <v>48.746727200000002</v>
      </c>
      <c r="F50">
        <f>_xlfn.IFNA(VLOOKUP(B50,Calls!$F$1:$AN$68,MATCH("price",Puts!$F$1:$AN$1,0),FALSE),"")</f>
        <v>47.908902410000003</v>
      </c>
    </row>
    <row r="51" spans="2:6" x14ac:dyDescent="0.25">
      <c r="B51">
        <v>4675</v>
      </c>
      <c r="C51">
        <f>VLOOKUP(B51,Puts!$F$1:$AN$68,MATCH("Put Price",Puts!$F$1:$AN$1,0),FALSE)</f>
        <v>79.814637039938589</v>
      </c>
      <c r="D51">
        <f>_xlfn.IFNA(VLOOKUP(B51,Calls!$F$1:$AN$68,MATCH("Call Price",Puts!$F$1:$AN$1,0),FALSE),"")</f>
        <v>76.075092870805747</v>
      </c>
      <c r="E51">
        <f>VLOOKUP(B51,Puts!$F$1:$AN$68,MATCH("price",Puts!$F$1:$AN$1,0),FALSE)</f>
        <v>61.370822390000001</v>
      </c>
      <c r="F51">
        <f>_xlfn.IFNA(VLOOKUP(B51,Calls!$F$1:$AN$68,MATCH("price",Puts!$F$1:$AN$1,0),FALSE),"")</f>
        <v>35.57691896</v>
      </c>
    </row>
    <row r="52" spans="2:6" x14ac:dyDescent="0.25">
      <c r="B52">
        <v>4700</v>
      </c>
      <c r="C52">
        <f>VLOOKUP(B52,Puts!$F$1:$AN$68,MATCH("Put Price",Puts!$F$1:$AN$1,0),FALSE)</f>
        <v>93.325065024697324</v>
      </c>
      <c r="D52">
        <f>_xlfn.IFNA(VLOOKUP(B52,Calls!$F$1:$AN$68,MATCH("Call Price",Puts!$F$1:$AN$1,0),FALSE),"")</f>
        <v>64.627020619365794</v>
      </c>
      <c r="E52">
        <f>VLOOKUP(B52,Puts!$F$1:$AN$68,MATCH("price",Puts!$F$1:$AN$1,0),FALSE)</f>
        <v>76.431398709999996</v>
      </c>
      <c r="F52">
        <f>_xlfn.IFNA(VLOOKUP(B52,Calls!$F$1:$AN$68,MATCH("price",Puts!$F$1:$AN$1,0),FALSE),"")</f>
        <v>25.68141662</v>
      </c>
    </row>
    <row r="53" spans="2:6" x14ac:dyDescent="0.25">
      <c r="B53">
        <v>4725</v>
      </c>
      <c r="C53">
        <f>VLOOKUP(B53,Puts!$F$1:$AN$68,MATCH("Put Price",Puts!$F$1:$AN$1,0),FALSE)</f>
        <v>108.08111402116401</v>
      </c>
      <c r="D53">
        <f>_xlfn.IFNA(VLOOKUP(B53,Calls!$F$1:$AN$68,MATCH("Call Price",Puts!$F$1:$AN$1,0),FALSE),"")</f>
        <v>54.424569379634249</v>
      </c>
      <c r="E53">
        <f>VLOOKUP(B53,Puts!$F$1:$AN$68,MATCH("price",Puts!$F$1:$AN$1,0),FALSE)</f>
        <v>93.797071990000006</v>
      </c>
      <c r="F53">
        <f>_xlfn.IFNA(VLOOKUP(B53,Calls!$F$1:$AN$68,MATCH("price",Puts!$F$1:$AN$1,0),FALSE),"")</f>
        <v>18.091011250000001</v>
      </c>
    </row>
    <row r="54" spans="2:6" x14ac:dyDescent="0.25">
      <c r="B54">
        <v>4750</v>
      </c>
      <c r="C54">
        <f>VLOOKUP(B54,Puts!$F$1:$AN$68,MATCH("Put Price",Puts!$F$1:$AN$1,0),FALSE)</f>
        <v>124.0406246771131</v>
      </c>
      <c r="D54">
        <f>_xlfn.IFNA(VLOOKUP(B54,Calls!$F$1:$AN$68,MATCH("Call Price",Puts!$F$1:$AN$1,0),FALSE),"")</f>
        <v>45.425579799384877</v>
      </c>
      <c r="E54">
        <f>VLOOKUP(B54,Puts!$F$1:$AN$68,MATCH("price",Puts!$F$1:$AN$1,0),FALSE)</f>
        <v>113.1489894</v>
      </c>
      <c r="F54">
        <f>_xlfn.IFNA(VLOOKUP(B54,Calls!$F$1:$AN$68,MATCH("price",Puts!$F$1:$AN$1,0),FALSE),"")</f>
        <v>12.48685</v>
      </c>
    </row>
    <row r="55" spans="2:6" x14ac:dyDescent="0.25">
      <c r="B55">
        <v>4775</v>
      </c>
      <c r="C55">
        <f>VLOOKUP(B55,Puts!$F$1:$AN$68,MATCH("Put Price",Puts!$F$1:$AN$1,0),FALSE)</f>
        <v>141.14474945583243</v>
      </c>
      <c r="D55">
        <f>_xlfn.IFNA(VLOOKUP(B55,Calls!$F$1:$AN$68,MATCH("Call Price",Puts!$F$1:$AN$1,0),FALSE),"")</f>
        <v>37.571204341905968</v>
      </c>
      <c r="E55">
        <f>VLOOKUP(B55,Puts!$F$1:$AN$68,MATCH("price",Puts!$F$1:$AN$1,0),FALSE)</f>
        <v>134.1007821</v>
      </c>
      <c r="F55">
        <f>_xlfn.IFNA(VLOOKUP(B55,Calls!$F$1:$AN$68,MATCH("price",Puts!$F$1:$AN$1,0),FALSE),"")</f>
        <v>8.4825640789999994</v>
      </c>
    </row>
    <row r="56" spans="2:6" x14ac:dyDescent="0.25">
      <c r="B56">
        <v>4800</v>
      </c>
      <c r="C56">
        <f>VLOOKUP(B56,Puts!$F$1:$AN$68,MATCH("Put Price",Puts!$F$1:$AN$1,0),FALSE)</f>
        <v>159.32082196982128</v>
      </c>
      <c r="D56">
        <f>_xlfn.IFNA(VLOOKUP(B56,Calls!$F$1:$AN$68,MATCH("Call Price",Puts!$F$1:$AN$1,0),FALSE),"")</f>
        <v>30.788776619695454</v>
      </c>
      <c r="E56">
        <f>VLOOKUP(B56,Puts!$F$1:$AN$68,MATCH("price",Puts!$F$1:$AN$1,0),FALSE)</f>
        <v>156.28976359999999</v>
      </c>
      <c r="F56">
        <f>_xlfn.IFNA(VLOOKUP(B56,Calls!$F$1:$AN$68,MATCH("price",Puts!$F$1:$AN$1,0),FALSE),"")</f>
        <v>5.7154668969999998</v>
      </c>
    </row>
    <row r="57" spans="2:6" x14ac:dyDescent="0.25">
      <c r="B57">
        <v>4825</v>
      </c>
      <c r="C57">
        <f>VLOOKUP(B57,Puts!$F$1:$AN$68,MATCH("Put Price",Puts!$F$1:$AN$1,0),FALSE)</f>
        <v>178.48563178355425</v>
      </c>
      <c r="D57">
        <f>_xlfn.IFNA(VLOOKUP(B57,Calls!$F$1:$AN$68,MATCH("Call Price",Puts!$F$1:$AN$1,0),FALSE),"")</f>
        <v>24.995086197229966</v>
      </c>
      <c r="E57">
        <f>VLOOKUP(B57,Puts!$F$1:$AN$68,MATCH("price",Puts!$F$1:$AN$1,0),FALSE)</f>
        <v>179.3838116</v>
      </c>
      <c r="F57">
        <f>_xlfn.IFNA(VLOOKUP(B57,Calls!$F$1:$AN$68,MATCH("price",Puts!$F$1:$AN$1,0),FALSE),"")</f>
        <v>3.853436276</v>
      </c>
    </row>
    <row r="58" spans="2:6" x14ac:dyDescent="0.25">
      <c r="B58">
        <v>4850</v>
      </c>
      <c r="C58">
        <f>VLOOKUP(B58,Puts!$F$1:$AN$68,MATCH("Put Price",Puts!$F$1:$AN$1,0),FALSE)</f>
        <v>198.54887142016605</v>
      </c>
      <c r="D58">
        <f>_xlfn.IFNA(VLOOKUP(B58,Calls!$F$1:$AN$68,MATCH("Call Price",Puts!$F$1:$AN$1,0),FALSE),"")</f>
        <v>20.099825597642734</v>
      </c>
      <c r="E58">
        <f>VLOOKUP(B58,Puts!$F$1:$AN$68,MATCH("price",Puts!$F$1:$AN$1,0),FALSE)</f>
        <v>203.1117381</v>
      </c>
      <c r="F58">
        <f>_xlfn.IFNA(VLOOKUP(B58,Calls!$F$1:$AN$68,MATCH("price",Puts!$F$1:$AN$1,0),FALSE),"")</f>
        <v>2.6252841039999999</v>
      </c>
    </row>
    <row r="59" spans="2:6" x14ac:dyDescent="0.25">
      <c r="B59">
        <v>4875</v>
      </c>
      <c r="C59">
        <f>VLOOKUP(B59,Puts!$F$1:$AN$68,MATCH("Put Price",Puts!$F$1:$AN$1,0),FALSE)</f>
        <v>219.41653415546898</v>
      </c>
      <c r="D59">
        <f>_xlfn.IFNA(VLOOKUP(B59,Calls!$F$1:$AN$68,MATCH("Call Price",Puts!$F$1:$AN$1,0),FALSE),"")</f>
        <v>16.008988096747089</v>
      </c>
      <c r="E59">
        <f>VLOOKUP(B59,Puts!$F$1:$AN$68,MATCH("price",Puts!$F$1:$AN$1,0),FALSE)</f>
        <v>227.26747349999999</v>
      </c>
      <c r="F59">
        <f>_xlfn.IFNA(VLOOKUP(B59,Calls!$F$1:$AN$68,MATCH("price",Puts!$F$1:$AN$1,0),FALSE),"")</f>
        <v>1.824940851</v>
      </c>
    </row>
    <row r="60" spans="2:6" x14ac:dyDescent="0.25">
      <c r="B60">
        <v>4900</v>
      </c>
      <c r="C60">
        <f>VLOOKUP(B60,Puts!$F$1:$AN$68,MATCH("Put Price",Puts!$F$1:$AN$1,0),FALSE)</f>
        <v>240.9940710007927</v>
      </c>
      <c r="D60">
        <f>_xlfn.IFNA(VLOOKUP(B60,Calls!$F$1:$AN$68,MATCH("Call Price",Puts!$F$1:$AN$1,0),FALSE),"")</f>
        <v>12.628024705872804</v>
      </c>
      <c r="E60">
        <f>VLOOKUP(B60,Puts!$F$1:$AN$68,MATCH("price",Puts!$F$1:$AN$1,0),FALSE)</f>
        <v>251.70353370000001</v>
      </c>
      <c r="F60">
        <f>_xlfn.IFNA(VLOOKUP(B60,Calls!$F$1:$AN$68,MATCH("price",Puts!$F$1:$AN$1,0),FALSE),"")</f>
        <v>1.3049223510000001</v>
      </c>
    </row>
    <row r="61" spans="2:6" x14ac:dyDescent="0.25">
      <c r="B61">
        <v>4925</v>
      </c>
      <c r="C61">
        <f>VLOOKUP(B61,Puts!$F$1:$AN$68,MATCH("Put Price",Puts!$F$1:$AN$1,0),FALSE)</f>
        <v>263.1891576953567</v>
      </c>
      <c r="D61">
        <f>_xlfn.IFNA(VLOOKUP(B61,Calls!$F$1:$AN$68,MATCH("Call Price",Puts!$F$1:$AN$1,0),FALSE),"")</f>
        <v>9.8646111642378287</v>
      </c>
      <c r="E61">
        <f>VLOOKUP(B61,Puts!$F$1:$AN$68,MATCH("price",Puts!$F$1:$AN$1,0),FALSE)</f>
        <v>276.32076530000001</v>
      </c>
      <c r="F61">
        <f>_xlfn.IFNA(VLOOKUP(B61,Calls!$F$1:$AN$68,MATCH("price",Puts!$F$1:$AN$1,0),FALSE),"")</f>
        <v>0.96607538000000004</v>
      </c>
    </row>
    <row r="62" spans="2:6" x14ac:dyDescent="0.25">
      <c r="B62">
        <v>4950</v>
      </c>
      <c r="C62">
        <f>VLOOKUP(B62,Puts!$F$1:$AN$68,MATCH("Put Price",Puts!$F$1:$AN$1,0),FALSE)</f>
        <v>285.91397152151967</v>
      </c>
      <c r="D62">
        <f>_xlfn.IFNA(VLOOKUP(B62,Calls!$F$1:$AN$68,MATCH("Call Price",Puts!$F$1:$AN$1,0),FALSE),"")</f>
        <v>7.6309247542018284</v>
      </c>
      <c r="E62">
        <f>VLOOKUP(B62,Puts!$F$1:$AN$68,MATCH("price",Puts!$F$1:$AN$1,0),FALSE)</f>
        <v>301.0474294</v>
      </c>
      <c r="F62">
        <f>_xlfn.IFNA(VLOOKUP(B62,Calls!$F$1:$AN$68,MATCH("price",Puts!$F$1:$AN$1,0),FALSE),"")</f>
        <v>0.73666079699999998</v>
      </c>
    </row>
    <row r="63" spans="2:6" x14ac:dyDescent="0.25">
      <c r="B63">
        <v>4975</v>
      </c>
      <c r="C63">
        <f>VLOOKUP(B63,Puts!$F$1:$AN$68,MATCH("Put Price",Puts!$F$1:$AN$1,0),FALSE)</f>
        <v>309.08692749974762</v>
      </c>
      <c r="D63">
        <f>_xlfn.IFNA(VLOOKUP(B63,Calls!$F$1:$AN$68,MATCH("Call Price",Puts!$F$1:$AN$1,0),FALSE),"")</f>
        <v>5.8453804962322238</v>
      </c>
      <c r="E63">
        <f>VLOOKUP(B63,Puts!$F$1:$AN$68,MATCH("price",Puts!$F$1:$AN$1,0),FALSE)</f>
        <v>325.84080970000002</v>
      </c>
      <c r="F63">
        <f>_xlfn.IFNA(VLOOKUP(B63,Calls!$F$1:$AN$68,MATCH("price",Puts!$F$1:$AN$1,0),FALSE),"")</f>
        <v>0.57396241800000003</v>
      </c>
    </row>
    <row r="64" spans="2:6" x14ac:dyDescent="0.25">
      <c r="B64">
        <v>5000</v>
      </c>
      <c r="C64">
        <f>VLOOKUP(B64,Puts!$F$1:$AN$68,MATCH("Put Price",Puts!$F$1:$AN$1,0),FALSE)</f>
        <v>332.63386908779194</v>
      </c>
      <c r="D64">
        <f>_xlfn.IFNA(VLOOKUP(B64,Calls!$F$1:$AN$68,MATCH("Call Price",Puts!$F$1:$AN$1,0),FALSE),"")</f>
        <v>4.4338218480774003</v>
      </c>
      <c r="E64">
        <f>VLOOKUP(B64,Puts!$F$1:$AN$68,MATCH("price",Puts!$F$1:$AN$1,0),FALSE)</f>
        <v>350.68012929999998</v>
      </c>
      <c r="F64">
        <f>_xlfn.IFNA(VLOOKUP(B64,Calls!$F$1:$AN$68,MATCH("price",Puts!$F$1:$AN$1,0),FALSE),"")</f>
        <v>0.45720339999999998</v>
      </c>
    </row>
    <row r="65" spans="2:6" x14ac:dyDescent="0.25">
      <c r="B65">
        <v>5025</v>
      </c>
      <c r="C65">
        <f>VLOOKUP(B65,Puts!$F$1:$AN$68,MATCH("Put Price",Puts!$F$1:$AN$1,0),FALSE)</f>
        <v>356.48874631367289</v>
      </c>
      <c r="D65">
        <f>_xlfn.IFNA(VLOOKUP(B65,Calls!$F$1:$AN$68,MATCH("Call Price",Puts!$F$1:$AN$1,0),FALSE),"")</f>
        <v>3.3301988377600367</v>
      </c>
      <c r="E65">
        <f>VLOOKUP(B65,Puts!$F$1:$AN$68,MATCH("price",Puts!$F$1:$AN$1,0),FALSE)</f>
        <v>375.55140419999998</v>
      </c>
      <c r="F65">
        <f>_xlfn.IFNA(VLOOKUP(B65,Calls!$F$1:$AN$68,MATCH("price",Puts!$F$1:$AN$1,0),FALSE),"")</f>
        <v>0.37239962900000001</v>
      </c>
    </row>
    <row r="66" spans="2:6" x14ac:dyDescent="0.25">
      <c r="B66">
        <v>5050</v>
      </c>
      <c r="C66">
        <f>VLOOKUP(B66,Puts!$F$1:$AN$68,MATCH("Put Price",Puts!$F$1:$AN$1,0),FALSE)</f>
        <v>380.59384224610494</v>
      </c>
      <c r="D66">
        <f>_xlfn.IFNA(VLOOKUP(B66,Calls!$F$1:$AN$68,MATCH("Call Price",Puts!$F$1:$AN$1,0),FALSE),"")</f>
        <v>2.4767945339940241</v>
      </c>
      <c r="E66">
        <f>VLOOKUP(B66,Puts!$F$1:$AN$68,MATCH("price",Puts!$F$1:$AN$1,0),FALSE)</f>
        <v>400.44517509999997</v>
      </c>
      <c r="F66">
        <f>_xlfn.IFNA(VLOOKUP(B66,Calls!$F$1:$AN$68,MATCH("price",Puts!$F$1:$AN$1,0),FALSE),"")</f>
        <v>0.310091905</v>
      </c>
    </row>
    <row r="67" spans="2:6" x14ac:dyDescent="0.25">
      <c r="B67">
        <v>5075</v>
      </c>
      <c r="C67">
        <f>VLOOKUP(B67,Puts!$F$1:$AN$68,MATCH("Put Price",Puts!$F$1:$AN$1,0),FALSE)</f>
        <v>404.89962623886458</v>
      </c>
      <c r="D67">
        <f>_xlfn.IFNA(VLOOKUP(B67,Calls!$F$1:$AN$68,MATCH("Call Price",Puts!$F$1:$AN$1,0),FALSE),"")</f>
        <v>1.8240782905544535</v>
      </c>
      <c r="E67">
        <f>VLOOKUP(B67,Puts!$F$1:$AN$68,MATCH("price",Puts!$F$1:$AN$1,0),FALSE)</f>
        <v>425.35499800000002</v>
      </c>
      <c r="F67">
        <f>_xlfn.IFNA(VLOOKUP(B67,Calls!$F$1:$AN$68,MATCH("price",Puts!$F$1:$AN$1,0),FALSE),"")</f>
        <v>0.26383611000000001</v>
      </c>
    </row>
    <row r="68" spans="2:6" x14ac:dyDescent="0.25">
      <c r="B68">
        <v>5100</v>
      </c>
      <c r="C68">
        <f>VLOOKUP(B68,Puts!$F$1:$AN$68,MATCH("Put Price",Puts!$F$1:$AN$1,0),FALSE)</f>
        <v>429.36432008814336</v>
      </c>
      <c r="D68">
        <f>_xlfn.IFNA(VLOOKUP(B68,Calls!$F$1:$AN$68,MATCH("Call Price",Puts!$F$1:$AN$1,0),FALSE),"")</f>
        <v>1.3302719036344257</v>
      </c>
      <c r="E68">
        <f>VLOOKUP(B68,Puts!$F$1:$AN$68,MATCH("price",Puts!$F$1:$AN$1,0),FALSE)</f>
        <v>450.2764449</v>
      </c>
      <c r="F68">
        <f>_xlfn.IFNA(VLOOKUP(B68,Calls!$F$1:$AN$68,MATCH("price",Puts!$F$1:$AN$1,0),FALSE),"")</f>
        <v>0.229204353</v>
      </c>
    </row>
    <row r="69" spans="2:6" x14ac:dyDescent="0.25">
      <c r="B69">
        <v>5125</v>
      </c>
      <c r="C69">
        <f>VLOOKUP(B69,Puts!$F$1:$AN$68,MATCH("Put Price",Puts!$F$1:$AN$1,0),FALSE)</f>
        <v>453.95326260232287</v>
      </c>
      <c r="D69">
        <f>_xlfn.IFNA(VLOOKUP(B69,Calls!$F$1:$AN$68,MATCH("Call Price",Puts!$F$1:$AN$1,0),FALSE),"")</f>
        <v>0.96071418161555755</v>
      </c>
      <c r="E69">
        <f>VLOOKUP(B69,Puts!$F$1:$AN$68,MATCH("price",Puts!$F$1:$AN$1,0),FALSE)</f>
        <v>475.20644449999998</v>
      </c>
      <c r="F69">
        <f>_xlfn.IFNA(VLOOKUP(B69,Calls!$F$1:$AN$68,MATCH("price",Puts!$F$1:$AN$1,0),FALSE),"")</f>
        <v>0.20312529100000001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BAC289-2DB2-495A-9992-8E51DA271B12}">
  <sheetPr codeName="Sheet6"/>
  <dimension ref="A1:AS106"/>
  <sheetViews>
    <sheetView showGridLines="0" zoomScale="75" zoomScaleNormal="75" workbookViewId="0">
      <pane xSplit="6" ySplit="1" topLeftCell="G26" activePane="bottomRight" state="frozen"/>
      <selection pane="topRight" activeCell="G1" sqref="G1"/>
      <selection pane="bottomLeft" activeCell="A2" sqref="A2"/>
      <selection pane="bottomRight"/>
    </sheetView>
  </sheetViews>
  <sheetFormatPr defaultRowHeight="15" x14ac:dyDescent="0.25"/>
  <cols>
    <col min="1" max="1" width="17.28515625" bestFit="1" customWidth="1"/>
    <col min="2" max="2" width="10.42578125" bestFit="1" customWidth="1"/>
    <col min="3" max="3" width="8" bestFit="1" customWidth="1"/>
    <col min="4" max="5" width="12.85546875" bestFit="1" customWidth="1"/>
    <col min="6" max="6" width="14.140625" bestFit="1" customWidth="1"/>
    <col min="7" max="7" width="20.42578125" bestFit="1" customWidth="1"/>
    <col min="8" max="8" width="16" bestFit="1" customWidth="1"/>
    <col min="9" max="10" width="9.85546875" bestFit="1" customWidth="1"/>
    <col min="11" max="17" width="12.7109375" style="3" customWidth="1"/>
    <col min="18" max="18" width="9.42578125" bestFit="1" customWidth="1"/>
    <col min="19" max="19" width="11.5703125" bestFit="1" customWidth="1"/>
    <col min="20" max="20" width="16.7109375" bestFit="1" customWidth="1"/>
    <col min="21" max="21" width="17.28515625" bestFit="1" customWidth="1"/>
    <col min="22" max="22" width="15.7109375" style="3" bestFit="1" customWidth="1"/>
    <col min="23" max="23" width="10.42578125" bestFit="1" customWidth="1"/>
    <col min="24" max="24" width="8.28515625" style="3" bestFit="1" customWidth="1"/>
    <col min="25" max="25" width="13.42578125" style="5" bestFit="1" customWidth="1"/>
    <col min="26" max="26" width="16.28515625" style="5" bestFit="1" customWidth="1"/>
    <col min="27" max="27" width="12.85546875" style="5" bestFit="1" customWidth="1"/>
    <col min="28" max="28" width="15.7109375" style="5" bestFit="1" customWidth="1"/>
    <col min="29" max="29" width="10.7109375" style="5" customWidth="1"/>
    <col min="30" max="31" width="18" style="5" bestFit="1" customWidth="1"/>
    <col min="32" max="32" width="16.28515625" style="5" bestFit="1" customWidth="1"/>
    <col min="33" max="33" width="10.7109375" style="5" customWidth="1"/>
    <col min="34" max="35" width="12.85546875" style="5" bestFit="1" customWidth="1"/>
    <col min="36" max="36" width="12.85546875" style="23" bestFit="1" customWidth="1"/>
    <col min="37" max="38" width="12.85546875" style="20" bestFit="1" customWidth="1"/>
    <col min="39" max="39" width="12.85546875" customWidth="1"/>
    <col min="40" max="40" width="12.85546875" style="5" customWidth="1"/>
    <col min="41" max="41" width="14.42578125" bestFit="1" customWidth="1"/>
    <col min="42" max="43" width="10.7109375" style="5" customWidth="1"/>
    <col min="44" max="44" width="9.85546875" style="5" bestFit="1" customWidth="1"/>
    <col min="45" max="45" width="9.140625" style="5"/>
  </cols>
  <sheetData>
    <row r="1" spans="1:45" x14ac:dyDescent="0.25">
      <c r="A1" s="2" t="s">
        <v>5</v>
      </c>
      <c r="B1" s="2" t="s">
        <v>6</v>
      </c>
      <c r="C1" s="2" t="s">
        <v>7</v>
      </c>
      <c r="D1" s="2" t="s">
        <v>8</v>
      </c>
      <c r="E1" s="2" t="s">
        <v>9</v>
      </c>
      <c r="F1" s="2" t="s">
        <v>0</v>
      </c>
      <c r="G1" s="2" t="s">
        <v>10</v>
      </c>
      <c r="H1" s="2" t="s">
        <v>11</v>
      </c>
      <c r="I1" s="2" t="s">
        <v>12</v>
      </c>
      <c r="J1" s="2" t="s">
        <v>13</v>
      </c>
      <c r="K1" s="6" t="s">
        <v>14</v>
      </c>
      <c r="L1" s="6" t="s">
        <v>15</v>
      </c>
      <c r="M1" s="6" t="s">
        <v>16</v>
      </c>
      <c r="N1" s="6" t="s">
        <v>17</v>
      </c>
      <c r="O1" s="6" t="s">
        <v>18</v>
      </c>
      <c r="P1" s="6" t="s">
        <v>19</v>
      </c>
      <c r="Q1" s="6" t="s">
        <v>20</v>
      </c>
      <c r="R1" s="2" t="s">
        <v>21</v>
      </c>
      <c r="S1" s="2" t="s">
        <v>22</v>
      </c>
      <c r="T1" s="2" t="s">
        <v>23</v>
      </c>
      <c r="U1" s="2" t="s">
        <v>24</v>
      </c>
      <c r="V1" s="6" t="s">
        <v>25</v>
      </c>
      <c r="W1" s="2" t="s">
        <v>26</v>
      </c>
      <c r="X1" s="6" t="s">
        <v>43</v>
      </c>
      <c r="Y1" s="11" t="s">
        <v>27</v>
      </c>
      <c r="Z1" s="11" t="s">
        <v>28</v>
      </c>
      <c r="AA1" s="11" t="s">
        <v>29</v>
      </c>
      <c r="AB1" s="11" t="s">
        <v>30</v>
      </c>
      <c r="AC1" s="11" t="s">
        <v>31</v>
      </c>
      <c r="AD1" s="11" t="s">
        <v>32</v>
      </c>
      <c r="AE1" s="11" t="s">
        <v>33</v>
      </c>
      <c r="AF1" s="11" t="s">
        <v>28</v>
      </c>
      <c r="AG1" s="11" t="s">
        <v>34</v>
      </c>
      <c r="AH1" s="11" t="s">
        <v>35</v>
      </c>
      <c r="AI1" s="11" t="s">
        <v>36</v>
      </c>
      <c r="AJ1" s="22" t="s">
        <v>37</v>
      </c>
      <c r="AK1" s="19" t="s">
        <v>38</v>
      </c>
      <c r="AL1" s="19" t="s">
        <v>39</v>
      </c>
      <c r="AM1" s="2" t="s">
        <v>44</v>
      </c>
      <c r="AN1" s="11" t="s">
        <v>45</v>
      </c>
      <c r="AO1" s="2" t="s">
        <v>47</v>
      </c>
      <c r="AP1" s="11" t="s">
        <v>31</v>
      </c>
      <c r="AQ1" s="11" t="s">
        <v>34</v>
      </c>
      <c r="AR1" s="15" t="s">
        <v>44</v>
      </c>
      <c r="AS1" s="15" t="s">
        <v>45</v>
      </c>
    </row>
    <row r="2" spans="1:45" x14ac:dyDescent="0.25">
      <c r="A2" s="1">
        <v>45322.666666666664</v>
      </c>
      <c r="B2">
        <v>20240216</v>
      </c>
      <c r="C2">
        <v>4663.5</v>
      </c>
      <c r="D2">
        <v>4648.2287960000003</v>
      </c>
      <c r="E2" t="s">
        <v>40</v>
      </c>
      <c r="F2">
        <v>3475</v>
      </c>
      <c r="G2">
        <v>10</v>
      </c>
      <c r="H2" t="s">
        <v>41</v>
      </c>
      <c r="I2" s="3">
        <v>0.1</v>
      </c>
      <c r="J2" s="3">
        <v>0.3</v>
      </c>
      <c r="K2" s="3">
        <v>48.857054120000001</v>
      </c>
      <c r="L2" s="3">
        <v>0.64329366399999999</v>
      </c>
      <c r="M2" s="3">
        <v>0.15393880800000001</v>
      </c>
      <c r="N2" s="3">
        <v>-1.1788460000000001E-3</v>
      </c>
      <c r="O2" s="3">
        <v>3.6357529E-2</v>
      </c>
      <c r="P2" s="10">
        <v>3.9897509100430398E-6</v>
      </c>
      <c r="Q2" s="3">
        <v>-4.1095451999999998E-2</v>
      </c>
      <c r="R2">
        <v>0</v>
      </c>
      <c r="S2" t="b">
        <v>1</v>
      </c>
      <c r="T2" s="1">
        <v>45322.666666666664</v>
      </c>
      <c r="U2" s="1">
        <v>45338.666666666664</v>
      </c>
      <c r="V2" s="3">
        <f>(U2-T2)/365</f>
        <v>4.3835616438356165E-2</v>
      </c>
      <c r="W2">
        <v>3.7900000000000003E-2</v>
      </c>
      <c r="X2" s="7">
        <v>0.50109999999999999</v>
      </c>
      <c r="Y2" s="5">
        <f>(LN(C2/F2))</f>
        <v>0.29417176016802565</v>
      </c>
      <c r="Z2" s="5">
        <f>(W2+((X2)^2)/2)</f>
        <v>0.16345060499999997</v>
      </c>
      <c r="AA2" s="5">
        <f>V2</f>
        <v>4.3835616438356165E-2</v>
      </c>
      <c r="AB2" s="5">
        <f>X2*SQRT(V2)</f>
        <v>0.10491509104398243</v>
      </c>
      <c r="AC2" s="5">
        <f>(Y2+Z2*AA2)/AB2</f>
        <v>2.8721961273340244</v>
      </c>
      <c r="AD2" s="5">
        <f>_xlfn.NORM.DIST(AC2,0,1,TRUE)</f>
        <v>0.99796185051795183</v>
      </c>
      <c r="AE2" s="5">
        <f>_xlfn.NORM.DIST(-AC2,0,1,TRUE)</f>
        <v>2.038149482048203E-3</v>
      </c>
      <c r="AF2" s="5">
        <f>(W2-((X2)^2)/2)</f>
        <v>-8.7650604999999979E-2</v>
      </c>
      <c r="AG2" s="5">
        <f>(Y2+AF2*AA2)/AB2</f>
        <v>2.7672810362900417</v>
      </c>
      <c r="AH2" s="5">
        <f>_xlfn.NORM.DIST(AG2,0,1,TRUE)</f>
        <v>0.99717369983790494</v>
      </c>
      <c r="AI2" s="5">
        <f>_xlfn.NORM.DIST(-AG2,0,1,TRUE)</f>
        <v>2.8263001620950174E-3</v>
      </c>
      <c r="AJ2" s="23" t="str">
        <f>IF(E2="Call",C2*AD2-EXP(-W2*AA2)*F2*AH2,"Put")</f>
        <v>Put</v>
      </c>
      <c r="AK2" s="20">
        <f>IF(E2="Put",EXP(-W2*AA2)*F2*AI2-C2*AE2,"Call")</f>
        <v>0.30017953405530839</v>
      </c>
      <c r="AL2" s="20">
        <f>IF(E2="Put",AK2,AJ2)</f>
        <v>0.30017953405530839</v>
      </c>
      <c r="AM2" s="3">
        <f>J2</f>
        <v>0.3</v>
      </c>
      <c r="AN2" s="5">
        <f>M2</f>
        <v>0.15393880800000001</v>
      </c>
      <c r="AO2" s="5">
        <f>AL2-AM2</f>
        <v>1.7953405530840572E-4</v>
      </c>
      <c r="AP2" s="5">
        <f>(LN(C2/F2)+(W2+((X2)^2)/2)*(V2))/(X2*SQRT(V2))</f>
        <v>2.8721961273340244</v>
      </c>
      <c r="AQ2" s="5">
        <f>(LN(C2/F2)+(W2-((X2)^2)/2)*(V2))/(X2*SQRT(V2))</f>
        <v>2.7672810362900417</v>
      </c>
      <c r="AR2" s="5">
        <f>J2</f>
        <v>0.3</v>
      </c>
      <c r="AS2" s="5">
        <f>M2</f>
        <v>0.15393880800000001</v>
      </c>
    </row>
    <row r="3" spans="1:45" x14ac:dyDescent="0.25">
      <c r="A3" s="1">
        <v>45322.666666666664</v>
      </c>
      <c r="B3">
        <v>20240216</v>
      </c>
      <c r="C3">
        <v>4663.5</v>
      </c>
      <c r="D3">
        <v>4648.2287960000003</v>
      </c>
      <c r="E3" t="s">
        <v>40</v>
      </c>
      <c r="F3">
        <v>3500</v>
      </c>
      <c r="G3">
        <v>10</v>
      </c>
      <c r="H3" t="s">
        <v>41</v>
      </c>
      <c r="I3" s="3">
        <v>0.1</v>
      </c>
      <c r="J3" s="3">
        <v>0.3</v>
      </c>
      <c r="K3" s="3">
        <v>48.166936720000002</v>
      </c>
      <c r="L3" s="3">
        <v>0.64329366399999999</v>
      </c>
      <c r="M3" s="3">
        <v>0.17033622600000001</v>
      </c>
      <c r="N3" s="3">
        <v>-1.3127029999999999E-3</v>
      </c>
      <c r="O3" s="3">
        <v>4.011675E-2</v>
      </c>
      <c r="P3" s="10">
        <v>4.1760691573455398E-6</v>
      </c>
      <c r="Q3" s="3">
        <v>-4.1807978000000003E-2</v>
      </c>
      <c r="R3">
        <v>0</v>
      </c>
      <c r="S3" t="b">
        <v>1</v>
      </c>
      <c r="T3" s="1">
        <v>45322.666666666664</v>
      </c>
      <c r="U3" s="1">
        <v>45338.666666666664</v>
      </c>
      <c r="V3" s="3">
        <f t="shared" ref="V3:V66" si="0">(U3-T3)/365</f>
        <v>4.3835616438356165E-2</v>
      </c>
      <c r="W3">
        <v>3.7900000000000003E-2</v>
      </c>
      <c r="X3" s="7">
        <v>0.48990358137227302</v>
      </c>
      <c r="Y3" s="5">
        <f t="shared" ref="Y3:Y66" si="1">(LN(C3/F3))</f>
        <v>0.28700327068941323</v>
      </c>
      <c r="Z3" s="5">
        <f t="shared" ref="Z3:Z66" si="2">(W3+((X3)^2)/2)</f>
        <v>0.15790275952068966</v>
      </c>
      <c r="AA3" s="5">
        <f t="shared" ref="AA3:AA66" si="3">V3</f>
        <v>4.3835616438356165E-2</v>
      </c>
      <c r="AB3" s="5">
        <f t="shared" ref="AB3:AB66" si="4">X3*SQRT(V3)</f>
        <v>0.10257090170114763</v>
      </c>
      <c r="AC3" s="5">
        <f t="shared" ref="AC3:AC66" si="5">(Y3+Z3*AA3)/AB3</f>
        <v>2.8655791322445938</v>
      </c>
      <c r="AD3" s="5">
        <f t="shared" ref="AD3:AD66" si="6">_xlfn.NORM.DIST(AC3,0,1,TRUE)</f>
        <v>0.99791876386928069</v>
      </c>
      <c r="AE3" s="5">
        <f t="shared" ref="AE3:AE66" si="7">_xlfn.NORM.DIST(-AC3,0,1,TRUE)</f>
        <v>2.0812361307193518E-3</v>
      </c>
      <c r="AF3" s="5">
        <f t="shared" ref="AF3:AF66" si="8">(W3-((X3)^2)/2)</f>
        <v>-8.2102759520689669E-2</v>
      </c>
      <c r="AG3" s="5">
        <f t="shared" ref="AG3:AG66" si="9">(Y3+AF3*AA3)/AB3</f>
        <v>2.7630082305434462</v>
      </c>
      <c r="AH3" s="5">
        <f t="shared" ref="AH3:AH66" si="10">_xlfn.NORM.DIST(AG3,0,1,TRUE)</f>
        <v>0.99713643388665918</v>
      </c>
      <c r="AI3" s="5">
        <f t="shared" ref="AI3:AI66" si="11">_xlfn.NORM.DIST(-AG3,0,1,TRUE)</f>
        <v>2.8635661133408043E-3</v>
      </c>
      <c r="AJ3" s="23" t="str">
        <f t="shared" ref="AJ3:AJ66" si="12">IF(E3="Call",C3*AD3-EXP(-W3*AA3)*F3*AH3,"Put")</f>
        <v>Put</v>
      </c>
      <c r="AK3" s="20">
        <f t="shared" ref="AK3:AK66" si="13">IF(E3="Put",EXP(-W3*AA3)*F3*AI3-C3*AE3,"Call")</f>
        <v>0.29999947665644022</v>
      </c>
      <c r="AL3" s="20">
        <f t="shared" ref="AL3:AL66" si="14">IF(E3="Put",AK3,AJ3)</f>
        <v>0.29999947665644022</v>
      </c>
      <c r="AM3" s="3">
        <f t="shared" ref="AM3:AM66" si="15">J3</f>
        <v>0.3</v>
      </c>
      <c r="AN3" s="5">
        <f t="shared" ref="AN3:AN66" si="16">M3</f>
        <v>0.17033622600000001</v>
      </c>
      <c r="AO3" s="5">
        <f t="shared" ref="AO3:AO66" si="17">AL3-AM3</f>
        <v>-5.2334355976624281E-7</v>
      </c>
      <c r="AP3" s="5">
        <f t="shared" ref="AP3:AP66" si="18">(LN(C3/F3)+(W3+((X3)^2)/2)*(V3))/(X3*SQRT(V3))</f>
        <v>2.8655791322445938</v>
      </c>
      <c r="AQ3" s="5">
        <f t="shared" ref="AQ3:AQ66" si="19">(LN(C3/F3)+(W3-((X3)^2)/2)*(V3))/(X3*SQRT(V3))</f>
        <v>2.7630082305434462</v>
      </c>
      <c r="AR3" s="5">
        <f t="shared" ref="AR3:AR66" si="20">J3</f>
        <v>0.3</v>
      </c>
      <c r="AS3" s="5">
        <f t="shared" ref="AS3:AS66" si="21">M3</f>
        <v>0.17033622600000001</v>
      </c>
    </row>
    <row r="4" spans="1:45" x14ac:dyDescent="0.25">
      <c r="A4" s="1">
        <v>45322.666666666664</v>
      </c>
      <c r="B4">
        <v>20240216</v>
      </c>
      <c r="C4">
        <v>4663.5</v>
      </c>
      <c r="D4">
        <v>4648.2287960000003</v>
      </c>
      <c r="E4" t="s">
        <v>40</v>
      </c>
      <c r="F4">
        <v>3525</v>
      </c>
      <c r="G4">
        <v>10</v>
      </c>
      <c r="H4" t="s">
        <v>41</v>
      </c>
      <c r="I4" s="3">
        <v>0.1</v>
      </c>
      <c r="J4" s="3">
        <v>0.3</v>
      </c>
      <c r="K4" s="3">
        <v>47.45914544</v>
      </c>
      <c r="L4" s="3">
        <v>0.64329366399999999</v>
      </c>
      <c r="M4" s="3">
        <v>0.18774026099999999</v>
      </c>
      <c r="N4" s="3">
        <v>-1.4570609999999999E-3</v>
      </c>
      <c r="O4" s="3">
        <v>4.4127699999999999E-2</v>
      </c>
      <c r="P4" s="10">
        <v>4.5303850617614299E-6</v>
      </c>
      <c r="Q4" s="3">
        <v>-4.4031995999999997E-2</v>
      </c>
      <c r="R4">
        <v>0</v>
      </c>
      <c r="S4" t="b">
        <v>1</v>
      </c>
      <c r="T4" s="1">
        <v>45322.666666666664</v>
      </c>
      <c r="U4" s="1">
        <v>45338.666666666664</v>
      </c>
      <c r="V4" s="3">
        <f t="shared" si="0"/>
        <v>4.3835616438356165E-2</v>
      </c>
      <c r="W4">
        <v>3.7900000000000003E-2</v>
      </c>
      <c r="X4" s="7">
        <v>0.4788002787543289</v>
      </c>
      <c r="Y4" s="5">
        <f t="shared" si="1"/>
        <v>0.27988580292054921</v>
      </c>
      <c r="Z4" s="5">
        <f t="shared" si="2"/>
        <v>0.15252485346761152</v>
      </c>
      <c r="AA4" s="5">
        <f t="shared" si="3"/>
        <v>4.3835616438356165E-2</v>
      </c>
      <c r="AB4" s="5">
        <f t="shared" si="4"/>
        <v>0.10024620801715144</v>
      </c>
      <c r="AC4" s="5">
        <f t="shared" si="5"/>
        <v>2.8586799397483587</v>
      </c>
      <c r="AD4" s="5">
        <f t="shared" si="6"/>
        <v>0.99787296118748581</v>
      </c>
      <c r="AE4" s="5">
        <f t="shared" si="7"/>
        <v>2.1270388125141631E-3</v>
      </c>
      <c r="AF4" s="5">
        <f t="shared" si="8"/>
        <v>-7.6724853467611528E-2</v>
      </c>
      <c r="AG4" s="5">
        <f t="shared" si="9"/>
        <v>2.7584337317312073</v>
      </c>
      <c r="AH4" s="5">
        <f t="shared" si="10"/>
        <v>0.99709604601655721</v>
      </c>
      <c r="AI4" s="5">
        <f t="shared" si="11"/>
        <v>2.9039539834428054E-3</v>
      </c>
      <c r="AJ4" s="23" t="str">
        <f t="shared" si="12"/>
        <v>Put</v>
      </c>
      <c r="AK4" s="20">
        <f t="shared" si="13"/>
        <v>0.29999989945525307</v>
      </c>
      <c r="AL4" s="20">
        <f t="shared" si="14"/>
        <v>0.29999989945525307</v>
      </c>
      <c r="AM4" s="3">
        <f t="shared" si="15"/>
        <v>0.3</v>
      </c>
      <c r="AN4" s="5">
        <f t="shared" si="16"/>
        <v>0.18774026099999999</v>
      </c>
      <c r="AO4" s="5">
        <f t="shared" si="17"/>
        <v>-1.0054474691711945E-7</v>
      </c>
      <c r="AP4" s="5">
        <f t="shared" si="18"/>
        <v>2.8586799397483587</v>
      </c>
      <c r="AQ4" s="5">
        <f t="shared" si="19"/>
        <v>2.7584337317312073</v>
      </c>
      <c r="AR4" s="5">
        <f t="shared" si="20"/>
        <v>0.3</v>
      </c>
      <c r="AS4" s="5">
        <f t="shared" si="21"/>
        <v>0.18774026099999999</v>
      </c>
    </row>
    <row r="5" spans="1:45" x14ac:dyDescent="0.25">
      <c r="A5" s="1">
        <v>45322.666666666664</v>
      </c>
      <c r="B5">
        <v>20240216</v>
      </c>
      <c r="C5">
        <v>4663.5</v>
      </c>
      <c r="D5">
        <v>4648.2287960000003</v>
      </c>
      <c r="E5" t="s">
        <v>40</v>
      </c>
      <c r="F5">
        <v>3550</v>
      </c>
      <c r="G5">
        <v>10</v>
      </c>
      <c r="H5" t="s">
        <v>41</v>
      </c>
      <c r="I5" s="3">
        <v>0.1</v>
      </c>
      <c r="J5" s="3">
        <v>0.3</v>
      </c>
      <c r="K5" s="3">
        <v>46.734089130000001</v>
      </c>
      <c r="L5" s="3">
        <v>0.64329366399999999</v>
      </c>
      <c r="M5" s="3">
        <v>0.20614533900000001</v>
      </c>
      <c r="N5" s="3">
        <v>-1.612383E-3</v>
      </c>
      <c r="O5" s="3">
        <v>4.8397795E-2</v>
      </c>
      <c r="P5" s="10">
        <v>4.90361016091793E-6</v>
      </c>
      <c r="Q5" s="3">
        <v>-4.6214357999999997E-2</v>
      </c>
      <c r="R5">
        <v>0</v>
      </c>
      <c r="S5" t="b">
        <v>1</v>
      </c>
      <c r="T5" s="1">
        <v>45322.666666666664</v>
      </c>
      <c r="U5" s="1">
        <v>45338.666666666664</v>
      </c>
      <c r="V5" s="3">
        <f t="shared" si="0"/>
        <v>4.3835616438356165E-2</v>
      </c>
      <c r="W5">
        <v>3.7900000000000003E-2</v>
      </c>
      <c r="X5" s="7">
        <v>0.46776011310628879</v>
      </c>
      <c r="Y5" s="5">
        <f t="shared" si="1"/>
        <v>0.27281863569745668</v>
      </c>
      <c r="Z5" s="5">
        <f t="shared" si="2"/>
        <v>0.14729976170660403</v>
      </c>
      <c r="AA5" s="5">
        <f t="shared" si="3"/>
        <v>4.3835616438356165E-2</v>
      </c>
      <c r="AB5" s="5">
        <f t="shared" si="4"/>
        <v>9.7934733293334283E-2</v>
      </c>
      <c r="AC5" s="5">
        <f t="shared" si="5"/>
        <v>2.8516502997624125</v>
      </c>
      <c r="AD5" s="5">
        <f t="shared" si="6"/>
        <v>0.99782535403394468</v>
      </c>
      <c r="AE5" s="5">
        <f t="shared" si="7"/>
        <v>2.1746459660552881E-3</v>
      </c>
      <c r="AF5" s="5">
        <f t="shared" si="8"/>
        <v>-7.1499761706604034E-2</v>
      </c>
      <c r="AG5" s="5">
        <f t="shared" si="9"/>
        <v>2.7537155664690784</v>
      </c>
      <c r="AH5" s="5">
        <f t="shared" si="10"/>
        <v>0.99705385239184441</v>
      </c>
      <c r="AI5" s="5">
        <f t="shared" si="11"/>
        <v>2.9461476081556015E-3</v>
      </c>
      <c r="AJ5" s="23" t="str">
        <f t="shared" si="12"/>
        <v>Put</v>
      </c>
      <c r="AK5" s="20">
        <f t="shared" si="13"/>
        <v>0.30000099721306128</v>
      </c>
      <c r="AL5" s="20">
        <f t="shared" si="14"/>
        <v>0.30000099721306128</v>
      </c>
      <c r="AM5" s="3">
        <f t="shared" si="15"/>
        <v>0.3</v>
      </c>
      <c r="AN5" s="5">
        <f t="shared" si="16"/>
        <v>0.20614533900000001</v>
      </c>
      <c r="AO5" s="5">
        <f t="shared" si="17"/>
        <v>9.9721306129341158E-7</v>
      </c>
      <c r="AP5" s="5">
        <f t="shared" si="18"/>
        <v>2.8516502997624125</v>
      </c>
      <c r="AQ5" s="5">
        <f t="shared" si="19"/>
        <v>2.7537155664690784</v>
      </c>
      <c r="AR5" s="5">
        <f t="shared" si="20"/>
        <v>0.3</v>
      </c>
      <c r="AS5" s="5">
        <f t="shared" si="21"/>
        <v>0.20614533900000001</v>
      </c>
    </row>
    <row r="6" spans="1:45" x14ac:dyDescent="0.25">
      <c r="A6" s="1">
        <v>45322.666666666664</v>
      </c>
      <c r="B6">
        <v>20240216</v>
      </c>
      <c r="C6">
        <v>4663.5</v>
      </c>
      <c r="D6">
        <v>4648.2287960000003</v>
      </c>
      <c r="E6" t="s">
        <v>40</v>
      </c>
      <c r="F6">
        <v>3575</v>
      </c>
      <c r="G6">
        <v>10</v>
      </c>
      <c r="H6" t="s">
        <v>41</v>
      </c>
      <c r="I6" s="3">
        <v>0.1</v>
      </c>
      <c r="J6" s="3">
        <v>0.3</v>
      </c>
      <c r="K6" s="3">
        <v>45.992165819999997</v>
      </c>
      <c r="L6" s="3">
        <v>0.64329366399999999</v>
      </c>
      <c r="M6" s="3">
        <v>0.22554068299999999</v>
      </c>
      <c r="N6" s="3">
        <v>-1.7791459999999999E-3</v>
      </c>
      <c r="O6" s="3">
        <v>5.2934547999999998E-2</v>
      </c>
      <c r="P6" s="10">
        <v>5.2964912609790999E-6</v>
      </c>
      <c r="Q6" s="3">
        <v>-4.8344760000000001E-2</v>
      </c>
      <c r="R6">
        <v>0</v>
      </c>
      <c r="S6" t="b">
        <v>1</v>
      </c>
      <c r="T6" s="1">
        <v>45322.666666666664</v>
      </c>
      <c r="U6" s="1">
        <v>45338.666666666664</v>
      </c>
      <c r="V6" s="3">
        <f t="shared" si="0"/>
        <v>4.3835616438356165E-2</v>
      </c>
      <c r="W6">
        <v>3.7900000000000003E-2</v>
      </c>
      <c r="X6" s="7">
        <v>0.45678131998502325</v>
      </c>
      <c r="Y6" s="5">
        <f t="shared" si="1"/>
        <v>0.26580106303881013</v>
      </c>
      <c r="Z6" s="5">
        <f t="shared" si="2"/>
        <v>0.14222458714363012</v>
      </c>
      <c r="AA6" s="5">
        <f t="shared" si="3"/>
        <v>4.3835616438356165E-2</v>
      </c>
      <c r="AB6" s="5">
        <f t="shared" si="4"/>
        <v>9.5636108108998572E-2</v>
      </c>
      <c r="AC6" s="5">
        <f t="shared" si="5"/>
        <v>2.8444859464470986</v>
      </c>
      <c r="AD6" s="5">
        <f t="shared" si="6"/>
        <v>0.9977758425946861</v>
      </c>
      <c r="AE6" s="5">
        <f t="shared" si="7"/>
        <v>2.2241574053139157E-3</v>
      </c>
      <c r="AF6" s="5">
        <f t="shared" si="8"/>
        <v>-6.6424587143630101E-2</v>
      </c>
      <c r="AG6" s="5">
        <f t="shared" si="9"/>
        <v>2.7488498383381001</v>
      </c>
      <c r="AH6" s="5">
        <f t="shared" si="10"/>
        <v>0.99700976114212003</v>
      </c>
      <c r="AI6" s="5">
        <f t="shared" si="11"/>
        <v>2.9902388578799521E-3</v>
      </c>
      <c r="AJ6" s="23" t="str">
        <f t="shared" si="12"/>
        <v>Put</v>
      </c>
      <c r="AK6" s="20">
        <f t="shared" si="13"/>
        <v>0.30000038573678545</v>
      </c>
      <c r="AL6" s="20">
        <f t="shared" si="14"/>
        <v>0.30000038573678545</v>
      </c>
      <c r="AM6" s="3">
        <f t="shared" si="15"/>
        <v>0.3</v>
      </c>
      <c r="AN6" s="5">
        <f t="shared" si="16"/>
        <v>0.22554068299999999</v>
      </c>
      <c r="AO6" s="5">
        <f t="shared" si="17"/>
        <v>3.8573678545761325E-7</v>
      </c>
      <c r="AP6" s="5">
        <f t="shared" si="18"/>
        <v>2.8444859464470986</v>
      </c>
      <c r="AQ6" s="5">
        <f t="shared" si="19"/>
        <v>2.7488498383381001</v>
      </c>
      <c r="AR6" s="5">
        <f t="shared" si="20"/>
        <v>0.3</v>
      </c>
      <c r="AS6" s="5">
        <f t="shared" si="21"/>
        <v>0.22554068299999999</v>
      </c>
    </row>
    <row r="7" spans="1:45" x14ac:dyDescent="0.25">
      <c r="A7" s="1">
        <v>45322.666666666664</v>
      </c>
      <c r="B7">
        <v>20240216</v>
      </c>
      <c r="C7">
        <v>4663.5</v>
      </c>
      <c r="D7">
        <v>4648.2287960000003</v>
      </c>
      <c r="E7" t="s">
        <v>40</v>
      </c>
      <c r="F7">
        <v>3600</v>
      </c>
      <c r="G7">
        <v>10</v>
      </c>
      <c r="H7" t="s">
        <v>41</v>
      </c>
      <c r="I7" s="3">
        <v>0.2</v>
      </c>
      <c r="J7" s="3">
        <v>0.4</v>
      </c>
      <c r="K7" s="3">
        <v>45.233763070000002</v>
      </c>
      <c r="L7" s="3">
        <v>0.64329366399999999</v>
      </c>
      <c r="M7" s="3">
        <v>0.245910355</v>
      </c>
      <c r="N7" s="3">
        <v>-1.9578410000000001E-3</v>
      </c>
      <c r="O7" s="3">
        <v>5.7745638000000002E-2</v>
      </c>
      <c r="P7" s="10">
        <v>5.7098935409154504E-6</v>
      </c>
      <c r="Q7" s="3">
        <v>-5.0413502999999998E-2</v>
      </c>
      <c r="R7">
        <v>0</v>
      </c>
      <c r="S7" t="b">
        <v>1</v>
      </c>
      <c r="T7" s="1">
        <v>45322.666666666664</v>
      </c>
      <c r="U7" s="1">
        <v>45338.666666666664</v>
      </c>
      <c r="V7" s="3">
        <f t="shared" si="0"/>
        <v>4.3835616438356165E-2</v>
      </c>
      <c r="W7">
        <v>3.7900000000000003E-2</v>
      </c>
      <c r="X7" s="7">
        <v>0.45872126526977697</v>
      </c>
      <c r="Y7" s="5">
        <f t="shared" si="1"/>
        <v>0.25883239372271682</v>
      </c>
      <c r="Z7" s="5">
        <f t="shared" si="2"/>
        <v>0.14311259960535255</v>
      </c>
      <c r="AA7" s="5">
        <f t="shared" si="3"/>
        <v>4.3835616438356165E-2</v>
      </c>
      <c r="AB7" s="5">
        <f t="shared" si="4"/>
        <v>9.6042273617221049E-2</v>
      </c>
      <c r="AC7" s="5">
        <f t="shared" si="5"/>
        <v>2.76030348680727</v>
      </c>
      <c r="AD7" s="5">
        <f t="shared" si="6"/>
        <v>0.99711261558182906</v>
      </c>
      <c r="AE7" s="5">
        <f t="shared" si="7"/>
        <v>2.88738441817092E-3</v>
      </c>
      <c r="AF7" s="5">
        <f t="shared" si="8"/>
        <v>-6.7312599605352547E-2</v>
      </c>
      <c r="AG7" s="5">
        <f t="shared" si="9"/>
        <v>2.6642612131900485</v>
      </c>
      <c r="AH7" s="5">
        <f t="shared" si="10"/>
        <v>0.99614211883711357</v>
      </c>
      <c r="AI7" s="5">
        <f t="shared" si="11"/>
        <v>3.8578811628864201E-3</v>
      </c>
      <c r="AJ7" s="23" t="str">
        <f t="shared" si="12"/>
        <v>Put</v>
      </c>
      <c r="AK7" s="20">
        <f t="shared" si="13"/>
        <v>0.40000038563816354</v>
      </c>
      <c r="AL7" s="20">
        <f t="shared" si="14"/>
        <v>0.40000038563816354</v>
      </c>
      <c r="AM7" s="3">
        <f t="shared" si="15"/>
        <v>0.4</v>
      </c>
      <c r="AN7" s="5">
        <f t="shared" si="16"/>
        <v>0.245910355</v>
      </c>
      <c r="AO7" s="5">
        <f t="shared" si="17"/>
        <v>3.8563816351366853E-7</v>
      </c>
      <c r="AP7" s="5">
        <f t="shared" si="18"/>
        <v>2.76030348680727</v>
      </c>
      <c r="AQ7" s="5">
        <f t="shared" si="19"/>
        <v>2.6642612131900485</v>
      </c>
      <c r="AR7" s="5">
        <f t="shared" si="20"/>
        <v>0.4</v>
      </c>
      <c r="AS7" s="5">
        <f t="shared" si="21"/>
        <v>0.245910355</v>
      </c>
    </row>
    <row r="8" spans="1:45" x14ac:dyDescent="0.25">
      <c r="A8" s="1">
        <v>45322.666666666664</v>
      </c>
      <c r="B8">
        <v>20240216</v>
      </c>
      <c r="C8">
        <v>4663.5</v>
      </c>
      <c r="D8">
        <v>4648.2287960000003</v>
      </c>
      <c r="E8" t="s">
        <v>40</v>
      </c>
      <c r="F8">
        <v>3625</v>
      </c>
      <c r="G8">
        <v>10</v>
      </c>
      <c r="H8" t="s">
        <v>41</v>
      </c>
      <c r="I8" s="3">
        <v>0.2</v>
      </c>
      <c r="J8" s="3">
        <v>0.4</v>
      </c>
      <c r="K8" s="3">
        <v>44.459258269999999</v>
      </c>
      <c r="L8" s="3">
        <v>0.64329366399999999</v>
      </c>
      <c r="M8" s="3">
        <v>0.26723332900000002</v>
      </c>
      <c r="N8" s="3">
        <v>-2.14898E-3</v>
      </c>
      <c r="O8" s="3">
        <v>6.2838993999999995E-2</v>
      </c>
      <c r="P8" s="10">
        <v>6.1448234340353002E-6</v>
      </c>
      <c r="Q8" s="3">
        <v>-5.2411580999999999E-2</v>
      </c>
      <c r="R8">
        <v>0</v>
      </c>
      <c r="S8" t="b">
        <v>1</v>
      </c>
      <c r="T8" s="1">
        <v>45322.666666666664</v>
      </c>
      <c r="U8" s="1">
        <v>45338.666666666664</v>
      </c>
      <c r="V8" s="3">
        <f t="shared" si="0"/>
        <v>4.3835616438356165E-2</v>
      </c>
      <c r="W8">
        <v>3.7900000000000003E-2</v>
      </c>
      <c r="X8" s="7">
        <v>0.44759420099927943</v>
      </c>
      <c r="Y8" s="5">
        <f t="shared" si="1"/>
        <v>0.25191195087814311</v>
      </c>
      <c r="Z8" s="5">
        <f t="shared" si="2"/>
        <v>0.13807028438409169</v>
      </c>
      <c r="AA8" s="5">
        <f t="shared" si="3"/>
        <v>4.3835616438356165E-2</v>
      </c>
      <c r="AB8" s="5">
        <f t="shared" si="4"/>
        <v>9.3712604966270152E-2</v>
      </c>
      <c r="AC8" s="5">
        <f t="shared" si="5"/>
        <v>2.7527177053587151</v>
      </c>
      <c r="AD8" s="5">
        <f t="shared" si="6"/>
        <v>0.9970448582368947</v>
      </c>
      <c r="AE8" s="5">
        <f t="shared" si="7"/>
        <v>2.9551417631052796E-3</v>
      </c>
      <c r="AF8" s="5">
        <f t="shared" si="8"/>
        <v>-6.227028438409167E-2</v>
      </c>
      <c r="AG8" s="5">
        <f t="shared" si="9"/>
        <v>2.6590051003924451</v>
      </c>
      <c r="AH8" s="5">
        <f t="shared" si="10"/>
        <v>0.99608141117250093</v>
      </c>
      <c r="AI8" s="5">
        <f t="shared" si="11"/>
        <v>3.9185888274991037E-3</v>
      </c>
      <c r="AJ8" s="23" t="str">
        <f t="shared" si="12"/>
        <v>Put</v>
      </c>
      <c r="AK8" s="20">
        <f t="shared" si="13"/>
        <v>0.40000091338024113</v>
      </c>
      <c r="AL8" s="20">
        <f t="shared" si="14"/>
        <v>0.40000091338024113</v>
      </c>
      <c r="AM8" s="3">
        <f t="shared" si="15"/>
        <v>0.4</v>
      </c>
      <c r="AN8" s="5">
        <f t="shared" si="16"/>
        <v>0.26723332900000002</v>
      </c>
      <c r="AO8" s="5">
        <f t="shared" si="17"/>
        <v>9.1338024110765303E-7</v>
      </c>
      <c r="AP8" s="5">
        <f t="shared" si="18"/>
        <v>2.7527177053587151</v>
      </c>
      <c r="AQ8" s="5">
        <f t="shared" si="19"/>
        <v>2.6590051003924451</v>
      </c>
      <c r="AR8" s="5">
        <f t="shared" si="20"/>
        <v>0.4</v>
      </c>
      <c r="AS8" s="5">
        <f t="shared" si="21"/>
        <v>0.26723332900000002</v>
      </c>
    </row>
    <row r="9" spans="1:45" x14ac:dyDescent="0.25">
      <c r="A9" s="1">
        <v>45322.666666666664</v>
      </c>
      <c r="B9">
        <v>20240216</v>
      </c>
      <c r="C9">
        <v>4663.5</v>
      </c>
      <c r="D9">
        <v>4648.2287960000003</v>
      </c>
      <c r="E9" t="s">
        <v>40</v>
      </c>
      <c r="F9">
        <v>3650</v>
      </c>
      <c r="G9">
        <v>10</v>
      </c>
      <c r="H9" t="s">
        <v>41</v>
      </c>
      <c r="I9" s="3">
        <v>0.2</v>
      </c>
      <c r="J9" s="3">
        <v>0.4</v>
      </c>
      <c r="K9" s="3">
        <v>43.669018999999999</v>
      </c>
      <c r="L9" s="3">
        <v>0.64329366399999999</v>
      </c>
      <c r="M9" s="3">
        <v>0.28948361299999997</v>
      </c>
      <c r="N9" s="3">
        <v>-2.3531009999999998E-3</v>
      </c>
      <c r="O9" s="3">
        <v>6.8222891999999993E-2</v>
      </c>
      <c r="P9" s="10">
        <v>6.60245517710319E-6</v>
      </c>
      <c r="Q9" s="3">
        <v>-5.4330757E-2</v>
      </c>
      <c r="R9">
        <v>0</v>
      </c>
      <c r="S9" t="b">
        <v>1</v>
      </c>
      <c r="T9" s="1">
        <v>45322.666666666664</v>
      </c>
      <c r="U9" s="1">
        <v>45338.666666666664</v>
      </c>
      <c r="V9" s="3">
        <f t="shared" si="0"/>
        <v>4.3835616438356165E-2</v>
      </c>
      <c r="W9">
        <v>3.7900000000000003E-2</v>
      </c>
      <c r="X9" s="7">
        <v>0.43652525817788579</v>
      </c>
      <c r="Y9" s="5">
        <f t="shared" si="1"/>
        <v>0.24503907159038102</v>
      </c>
      <c r="Z9" s="5">
        <f t="shared" si="2"/>
        <v>0.13317715051363493</v>
      </c>
      <c r="AA9" s="5">
        <f t="shared" si="3"/>
        <v>4.3835616438356165E-2</v>
      </c>
      <c r="AB9" s="5">
        <f t="shared" si="4"/>
        <v>9.1395105178069896E-2</v>
      </c>
      <c r="AC9" s="5">
        <f t="shared" si="5"/>
        <v>2.7449716654940453</v>
      </c>
      <c r="AD9" s="5">
        <f t="shared" si="6"/>
        <v>0.99697419387918063</v>
      </c>
      <c r="AE9" s="5">
        <f t="shared" si="7"/>
        <v>3.0258061208194281E-3</v>
      </c>
      <c r="AF9" s="5">
        <f t="shared" si="8"/>
        <v>-5.7377150513634914E-2</v>
      </c>
      <c r="AG9" s="5">
        <f t="shared" si="9"/>
        <v>2.6535765603159751</v>
      </c>
      <c r="AH9" s="5">
        <f t="shared" si="10"/>
        <v>0.99601781495920594</v>
      </c>
      <c r="AI9" s="5">
        <f t="shared" si="11"/>
        <v>3.9821850407940999E-3</v>
      </c>
      <c r="AJ9" s="23" t="str">
        <f t="shared" si="12"/>
        <v>Put</v>
      </c>
      <c r="AK9" s="20">
        <f t="shared" si="13"/>
        <v>0.40000063262050922</v>
      </c>
      <c r="AL9" s="20">
        <f t="shared" si="14"/>
        <v>0.40000063262050922</v>
      </c>
      <c r="AM9" s="3">
        <f t="shared" si="15"/>
        <v>0.4</v>
      </c>
      <c r="AN9" s="5">
        <f t="shared" si="16"/>
        <v>0.28948361299999997</v>
      </c>
      <c r="AO9" s="5">
        <f t="shared" si="17"/>
        <v>6.3262050919998813E-7</v>
      </c>
      <c r="AP9" s="5">
        <f t="shared" si="18"/>
        <v>2.7449716654940453</v>
      </c>
      <c r="AQ9" s="5">
        <f t="shared" si="19"/>
        <v>2.6535765603159751</v>
      </c>
      <c r="AR9" s="5">
        <f t="shared" si="20"/>
        <v>0.4</v>
      </c>
      <c r="AS9" s="5">
        <f t="shared" si="21"/>
        <v>0.28948361299999997</v>
      </c>
    </row>
    <row r="10" spans="1:45" x14ac:dyDescent="0.25">
      <c r="A10" s="1">
        <v>45322.666666666664</v>
      </c>
      <c r="B10">
        <v>20240216</v>
      </c>
      <c r="C10">
        <v>4663.5</v>
      </c>
      <c r="D10">
        <v>4648.2287960000003</v>
      </c>
      <c r="E10" t="s">
        <v>40</v>
      </c>
      <c r="F10">
        <v>3675</v>
      </c>
      <c r="G10">
        <v>10</v>
      </c>
      <c r="H10" t="s">
        <v>41</v>
      </c>
      <c r="I10" s="3">
        <v>0.2</v>
      </c>
      <c r="J10" s="3">
        <v>0.5</v>
      </c>
      <c r="K10" s="3">
        <v>42.863403320000003</v>
      </c>
      <c r="L10" s="3">
        <v>0.64329366399999999</v>
      </c>
      <c r="M10" s="3">
        <v>0.31263040800000003</v>
      </c>
      <c r="N10" s="3">
        <v>-2.5707690000000001E-3</v>
      </c>
      <c r="O10" s="3">
        <v>7.3906061999999995E-2</v>
      </c>
      <c r="P10" s="10">
        <v>7.0841618569836598E-6</v>
      </c>
      <c r="Q10" s="3">
        <v>-5.6163633999999997E-2</v>
      </c>
      <c r="R10">
        <v>0</v>
      </c>
      <c r="S10" t="b">
        <v>1</v>
      </c>
      <c r="T10" s="1">
        <v>45322.666666666664</v>
      </c>
      <c r="U10" s="1">
        <v>45338.666666666664</v>
      </c>
      <c r="V10" s="3">
        <f t="shared" si="0"/>
        <v>4.3835616438356165E-2</v>
      </c>
      <c r="W10">
        <v>3.7900000000000003E-2</v>
      </c>
      <c r="X10" s="7">
        <v>0.43550428797101548</v>
      </c>
      <c r="Y10" s="5">
        <f t="shared" si="1"/>
        <v>0.23821310651998107</v>
      </c>
      <c r="Z10" s="5">
        <f t="shared" si="2"/>
        <v>0.1327319924205706</v>
      </c>
      <c r="AA10" s="5">
        <f t="shared" si="3"/>
        <v>4.3835616438356165E-2</v>
      </c>
      <c r="AB10" s="5">
        <f t="shared" si="4"/>
        <v>9.1181345085858775E-2</v>
      </c>
      <c r="AC10" s="5">
        <f t="shared" si="5"/>
        <v>2.6763313811508427</v>
      </c>
      <c r="AD10" s="5">
        <f t="shared" si="6"/>
        <v>0.99627834953447325</v>
      </c>
      <c r="AE10" s="5">
        <f t="shared" si="7"/>
        <v>3.7216504655267291E-3</v>
      </c>
      <c r="AF10" s="5">
        <f t="shared" si="8"/>
        <v>-5.6931992420570593E-2</v>
      </c>
      <c r="AG10" s="5">
        <f t="shared" si="9"/>
        <v>2.5851500360649835</v>
      </c>
      <c r="AH10" s="5">
        <f t="shared" si="10"/>
        <v>0.9951331684653888</v>
      </c>
      <c r="AI10" s="5">
        <f t="shared" si="11"/>
        <v>4.8668315346112176E-3</v>
      </c>
      <c r="AJ10" s="23" t="str">
        <f t="shared" si="12"/>
        <v>Put</v>
      </c>
      <c r="AK10" s="20">
        <f t="shared" si="13"/>
        <v>0.49999900691761212</v>
      </c>
      <c r="AL10" s="20">
        <f t="shared" si="14"/>
        <v>0.49999900691761212</v>
      </c>
      <c r="AM10" s="3">
        <f t="shared" si="15"/>
        <v>0.5</v>
      </c>
      <c r="AN10" s="5">
        <f t="shared" si="16"/>
        <v>0.31263040800000003</v>
      </c>
      <c r="AO10" s="5">
        <f t="shared" si="17"/>
        <v>-9.9308238787898517E-7</v>
      </c>
      <c r="AP10" s="5">
        <f t="shared" si="18"/>
        <v>2.6763313811508427</v>
      </c>
      <c r="AQ10" s="5">
        <f t="shared" si="19"/>
        <v>2.5851500360649835</v>
      </c>
      <c r="AR10" s="5">
        <f t="shared" si="20"/>
        <v>0.5</v>
      </c>
      <c r="AS10" s="5">
        <f t="shared" si="21"/>
        <v>0.31263040800000003</v>
      </c>
    </row>
    <row r="11" spans="1:45" x14ac:dyDescent="0.25">
      <c r="A11" s="1">
        <v>45322.666666666664</v>
      </c>
      <c r="B11">
        <v>20240216</v>
      </c>
      <c r="C11">
        <v>4663.5</v>
      </c>
      <c r="D11">
        <v>4648.2287960000003</v>
      </c>
      <c r="E11" t="s">
        <v>40</v>
      </c>
      <c r="F11">
        <v>3700</v>
      </c>
      <c r="G11">
        <v>10</v>
      </c>
      <c r="H11" t="s">
        <v>41</v>
      </c>
      <c r="I11" s="3">
        <v>0.2</v>
      </c>
      <c r="J11" s="3">
        <v>0.5</v>
      </c>
      <c r="K11" s="3">
        <v>42.042760049999998</v>
      </c>
      <c r="L11" s="3">
        <v>0.64329366399999999</v>
      </c>
      <c r="M11" s="3">
        <v>0.336638308</v>
      </c>
      <c r="N11" s="3">
        <v>-2.8025839999999999E-3</v>
      </c>
      <c r="O11" s="3">
        <v>7.9897817999999995E-2</v>
      </c>
      <c r="P11" s="10">
        <v>7.8001748235415498E-6</v>
      </c>
      <c r="Q11" s="3">
        <v>-5.9494962999999998E-2</v>
      </c>
      <c r="R11">
        <v>0</v>
      </c>
      <c r="S11" t="b">
        <v>1</v>
      </c>
      <c r="T11" s="1">
        <v>45322.666666666664</v>
      </c>
      <c r="U11" s="1">
        <v>45338.666666666664</v>
      </c>
      <c r="V11" s="3">
        <f t="shared" si="0"/>
        <v>4.3835616438356165E-2</v>
      </c>
      <c r="W11">
        <v>3.7900000000000003E-2</v>
      </c>
      <c r="X11" s="7">
        <v>0.42432995666446255</v>
      </c>
      <c r="Y11" s="5">
        <f t="shared" si="1"/>
        <v>0.23143341953460242</v>
      </c>
      <c r="Z11" s="5">
        <f t="shared" si="2"/>
        <v>0.12792795606143234</v>
      </c>
      <c r="AA11" s="5">
        <f t="shared" si="3"/>
        <v>4.3835616438356165E-2</v>
      </c>
      <c r="AB11" s="5">
        <f t="shared" si="4"/>
        <v>8.8841780155939354E-2</v>
      </c>
      <c r="AC11" s="5">
        <f t="shared" si="5"/>
        <v>2.6681277652495048</v>
      </c>
      <c r="AD11" s="5">
        <f t="shared" si="6"/>
        <v>0.99618623768994774</v>
      </c>
      <c r="AE11" s="5">
        <f t="shared" si="7"/>
        <v>3.813762310052214E-3</v>
      </c>
      <c r="AF11" s="5">
        <f t="shared" si="8"/>
        <v>-5.2127956061432335E-2</v>
      </c>
      <c r="AG11" s="5">
        <f t="shared" si="9"/>
        <v>2.579285985093565</v>
      </c>
      <c r="AH11" s="5">
        <f t="shared" si="10"/>
        <v>0.99504976076829932</v>
      </c>
      <c r="AI11" s="5">
        <f t="shared" si="11"/>
        <v>4.9502392317006946E-3</v>
      </c>
      <c r="AJ11" s="23" t="str">
        <f t="shared" si="12"/>
        <v>Put</v>
      </c>
      <c r="AK11" s="20">
        <f t="shared" si="13"/>
        <v>0.50000042805040223</v>
      </c>
      <c r="AL11" s="20">
        <f t="shared" si="14"/>
        <v>0.50000042805040223</v>
      </c>
      <c r="AM11" s="3">
        <f t="shared" si="15"/>
        <v>0.5</v>
      </c>
      <c r="AN11" s="5">
        <f t="shared" si="16"/>
        <v>0.336638308</v>
      </c>
      <c r="AO11" s="5">
        <f t="shared" si="17"/>
        <v>4.2805040223470314E-7</v>
      </c>
      <c r="AP11" s="5">
        <f t="shared" si="18"/>
        <v>2.6681277652495048</v>
      </c>
      <c r="AQ11" s="5">
        <f t="shared" si="19"/>
        <v>2.579285985093565</v>
      </c>
      <c r="AR11" s="5">
        <f t="shared" si="20"/>
        <v>0.5</v>
      </c>
      <c r="AS11" s="5">
        <f t="shared" si="21"/>
        <v>0.336638308</v>
      </c>
    </row>
    <row r="12" spans="1:45" x14ac:dyDescent="0.25">
      <c r="A12" s="1">
        <v>45322.666666666664</v>
      </c>
      <c r="B12">
        <v>20240216</v>
      </c>
      <c r="C12">
        <v>4663.5</v>
      </c>
      <c r="D12">
        <v>4648.2287960000003</v>
      </c>
      <c r="E12" t="s">
        <v>40</v>
      </c>
      <c r="F12">
        <v>3725</v>
      </c>
      <c r="G12">
        <v>10</v>
      </c>
      <c r="H12" t="s">
        <v>41</v>
      </c>
      <c r="I12" s="3">
        <v>0.3</v>
      </c>
      <c r="J12" s="3">
        <v>0.4</v>
      </c>
      <c r="K12" s="3">
        <v>41.22935683</v>
      </c>
      <c r="L12" s="3">
        <v>0.64329366399999999</v>
      </c>
      <c r="M12" s="3">
        <v>0.36336156800000002</v>
      </c>
      <c r="N12" s="3">
        <v>-3.062338E-3</v>
      </c>
      <c r="O12" s="3">
        <v>8.6542874000000006E-2</v>
      </c>
      <c r="P12" s="10">
        <v>9.0391717516499092E-6</v>
      </c>
      <c r="Q12" s="3">
        <v>-6.6303306000000006E-2</v>
      </c>
      <c r="R12">
        <v>0</v>
      </c>
      <c r="S12" t="b">
        <v>1</v>
      </c>
      <c r="T12" s="1">
        <v>45322.666666666664</v>
      </c>
      <c r="U12" s="1">
        <v>45338.666666666664</v>
      </c>
      <c r="V12" s="3">
        <f t="shared" si="0"/>
        <v>4.3835616438356165E-2</v>
      </c>
      <c r="W12">
        <v>3.7900000000000003E-2</v>
      </c>
      <c r="X12" s="7">
        <v>0.40365314310816819</v>
      </c>
      <c r="Y12" s="5">
        <f t="shared" si="1"/>
        <v>0.22469938735325826</v>
      </c>
      <c r="Z12" s="5">
        <f t="shared" si="2"/>
        <v>0.11936792997055165</v>
      </c>
      <c r="AA12" s="5">
        <f t="shared" si="3"/>
        <v>4.3835616438356165E-2</v>
      </c>
      <c r="AB12" s="5">
        <f t="shared" si="4"/>
        <v>8.4512684612618502E-2</v>
      </c>
      <c r="AC12" s="5">
        <f t="shared" si="5"/>
        <v>2.720679803279578</v>
      </c>
      <c r="AD12" s="5">
        <f t="shared" si="6"/>
        <v>0.9967426084261154</v>
      </c>
      <c r="AE12" s="5">
        <f t="shared" si="7"/>
        <v>3.2573915738845615E-3</v>
      </c>
      <c r="AF12" s="5">
        <f t="shared" si="8"/>
        <v>-4.3567929970551644E-2</v>
      </c>
      <c r="AG12" s="5">
        <f t="shared" si="9"/>
        <v>2.6361671186669593</v>
      </c>
      <c r="AH12" s="5">
        <f t="shared" si="10"/>
        <v>0.99580757876863857</v>
      </c>
      <c r="AI12" s="5">
        <f t="shared" si="11"/>
        <v>4.1924212313614708E-3</v>
      </c>
      <c r="AJ12" s="23" t="str">
        <f t="shared" si="12"/>
        <v>Put</v>
      </c>
      <c r="AK12" s="20">
        <f t="shared" si="13"/>
        <v>0.39999979287304477</v>
      </c>
      <c r="AL12" s="20">
        <f t="shared" si="14"/>
        <v>0.39999979287304477</v>
      </c>
      <c r="AM12" s="3">
        <f t="shared" si="15"/>
        <v>0.4</v>
      </c>
      <c r="AN12" s="5">
        <f t="shared" si="16"/>
        <v>0.36336156800000002</v>
      </c>
      <c r="AO12" s="5">
        <f t="shared" si="17"/>
        <v>-2.0712695525393343E-7</v>
      </c>
      <c r="AP12" s="5">
        <f t="shared" si="18"/>
        <v>2.720679803279578</v>
      </c>
      <c r="AQ12" s="5">
        <f t="shared" si="19"/>
        <v>2.6361671186669593</v>
      </c>
      <c r="AR12" s="5">
        <f t="shared" si="20"/>
        <v>0.4</v>
      </c>
      <c r="AS12" s="5">
        <f t="shared" si="21"/>
        <v>0.36336156800000002</v>
      </c>
    </row>
    <row r="13" spans="1:45" x14ac:dyDescent="0.25">
      <c r="A13" s="1">
        <v>45322.666666666664</v>
      </c>
      <c r="B13">
        <v>20240216</v>
      </c>
      <c r="C13">
        <v>4663.5</v>
      </c>
      <c r="D13">
        <v>4648.2287960000003</v>
      </c>
      <c r="E13" t="s">
        <v>40</v>
      </c>
      <c r="F13">
        <v>3750</v>
      </c>
      <c r="G13">
        <v>10</v>
      </c>
      <c r="H13" t="s">
        <v>41</v>
      </c>
      <c r="I13" s="3">
        <v>0.3</v>
      </c>
      <c r="J13" s="3">
        <v>0.6</v>
      </c>
      <c r="K13" s="3">
        <v>40.44486689</v>
      </c>
      <c r="L13" s="3">
        <v>0.64329366399999999</v>
      </c>
      <c r="M13" s="3">
        <v>0.39522628999999998</v>
      </c>
      <c r="N13" s="3">
        <v>-3.3684119999999999E-3</v>
      </c>
      <c r="O13" s="3">
        <v>9.4286832000000001E-2</v>
      </c>
      <c r="P13" s="10">
        <v>1.07295615052148E-5</v>
      </c>
      <c r="Q13" s="3">
        <v>-7.5735974999999997E-2</v>
      </c>
      <c r="R13">
        <v>0</v>
      </c>
      <c r="S13" t="b">
        <v>1</v>
      </c>
      <c r="T13" s="1">
        <v>45322.666666666664</v>
      </c>
      <c r="U13" s="1">
        <v>45338.666666666664</v>
      </c>
      <c r="V13" s="3">
        <f t="shared" si="0"/>
        <v>4.3835616438356165E-2</v>
      </c>
      <c r="W13">
        <v>3.7900000000000003E-2</v>
      </c>
      <c r="X13" s="7">
        <v>0.41020251756113801</v>
      </c>
      <c r="Y13" s="5">
        <f t="shared" si="1"/>
        <v>0.21801039920246174</v>
      </c>
      <c r="Z13" s="5">
        <f t="shared" si="2"/>
        <v>0.12203305270674787</v>
      </c>
      <c r="AA13" s="5">
        <f t="shared" si="3"/>
        <v>4.3835616438356165E-2</v>
      </c>
      <c r="AB13" s="5">
        <f t="shared" si="4"/>
        <v>8.5883924319292745E-2</v>
      </c>
      <c r="AC13" s="5">
        <f t="shared" si="5"/>
        <v>2.6007171314543842</v>
      </c>
      <c r="AD13" s="5">
        <f t="shared" si="6"/>
        <v>0.99534854367452974</v>
      </c>
      <c r="AE13" s="5">
        <f t="shared" si="7"/>
        <v>4.6514563254702211E-3</v>
      </c>
      <c r="AF13" s="5">
        <f t="shared" si="8"/>
        <v>-4.6233052706747865E-2</v>
      </c>
      <c r="AG13" s="5">
        <f t="shared" si="9"/>
        <v>2.5148332071350912</v>
      </c>
      <c r="AH13" s="5">
        <f t="shared" si="10"/>
        <v>0.99404556454579929</v>
      </c>
      <c r="AI13" s="5">
        <f t="shared" si="11"/>
        <v>5.9544354542006806E-3</v>
      </c>
      <c r="AJ13" s="23" t="str">
        <f t="shared" si="12"/>
        <v>Put</v>
      </c>
      <c r="AK13" s="20">
        <f t="shared" si="13"/>
        <v>0.60000022968414868</v>
      </c>
      <c r="AL13" s="20">
        <f t="shared" si="14"/>
        <v>0.60000022968414868</v>
      </c>
      <c r="AM13" s="3">
        <f t="shared" si="15"/>
        <v>0.6</v>
      </c>
      <c r="AN13" s="5">
        <f t="shared" si="16"/>
        <v>0.39522628999999998</v>
      </c>
      <c r="AO13" s="5">
        <f t="shared" si="17"/>
        <v>2.2968414870039311E-7</v>
      </c>
      <c r="AP13" s="5">
        <f t="shared" si="18"/>
        <v>2.6007171314543842</v>
      </c>
      <c r="AQ13" s="5">
        <f t="shared" si="19"/>
        <v>2.5148332071350912</v>
      </c>
      <c r="AR13" s="5">
        <f t="shared" si="20"/>
        <v>0.6</v>
      </c>
      <c r="AS13" s="5">
        <f t="shared" si="21"/>
        <v>0.39522628999999998</v>
      </c>
    </row>
    <row r="14" spans="1:45" x14ac:dyDescent="0.25">
      <c r="A14" s="1">
        <v>45322.666666666664</v>
      </c>
      <c r="B14">
        <v>20240216</v>
      </c>
      <c r="C14">
        <v>4663.5</v>
      </c>
      <c r="D14">
        <v>4648.2287960000003</v>
      </c>
      <c r="E14" t="s">
        <v>40</v>
      </c>
      <c r="F14">
        <v>3775</v>
      </c>
      <c r="G14">
        <v>10</v>
      </c>
      <c r="H14" t="s">
        <v>41</v>
      </c>
      <c r="I14" s="3">
        <v>0.3</v>
      </c>
      <c r="J14" s="3">
        <v>0.6</v>
      </c>
      <c r="K14" s="3">
        <v>39.688750550000002</v>
      </c>
      <c r="L14" s="3">
        <v>0.64329366399999999</v>
      </c>
      <c r="M14" s="3">
        <v>0.433188833</v>
      </c>
      <c r="N14" s="3">
        <v>-3.729502E-3</v>
      </c>
      <c r="O14" s="3">
        <v>0.103312877</v>
      </c>
      <c r="P14" s="10">
        <v>1.27529745919531E-5</v>
      </c>
      <c r="Q14" s="3">
        <v>-8.6684166000000007E-2</v>
      </c>
      <c r="R14">
        <v>0</v>
      </c>
      <c r="S14" t="b">
        <v>1</v>
      </c>
      <c r="T14" s="1">
        <v>45322.666666666664</v>
      </c>
      <c r="U14" s="1">
        <v>45338.666666666664</v>
      </c>
      <c r="V14" s="3">
        <f t="shared" si="0"/>
        <v>4.3835616438356165E-2</v>
      </c>
      <c r="W14">
        <v>3.7900000000000003E-2</v>
      </c>
      <c r="X14" s="7">
        <v>0.39900144504516349</v>
      </c>
      <c r="Y14" s="5">
        <f t="shared" si="1"/>
        <v>0.21136585648379314</v>
      </c>
      <c r="Z14" s="5">
        <f t="shared" si="2"/>
        <v>0.11750107657406432</v>
      </c>
      <c r="AA14" s="5">
        <f t="shared" si="3"/>
        <v>4.3835616438356165E-2</v>
      </c>
      <c r="AB14" s="5">
        <f t="shared" si="4"/>
        <v>8.3538760593881226E-2</v>
      </c>
      <c r="AC14" s="5">
        <f t="shared" si="5"/>
        <v>2.5918099223445559</v>
      </c>
      <c r="AD14" s="5">
        <f t="shared" si="6"/>
        <v>0.9952263747721154</v>
      </c>
      <c r="AE14" s="5">
        <f t="shared" si="7"/>
        <v>4.7736252278845785E-3</v>
      </c>
      <c r="AF14" s="5">
        <f t="shared" si="8"/>
        <v>-4.1701076574064314E-2</v>
      </c>
      <c r="AG14" s="5">
        <f t="shared" si="9"/>
        <v>2.5082711617506743</v>
      </c>
      <c r="AH14" s="5">
        <f t="shared" si="10"/>
        <v>0.99393382379845474</v>
      </c>
      <c r="AI14" s="5">
        <f t="shared" si="11"/>
        <v>6.0661762015452175E-3</v>
      </c>
      <c r="AJ14" s="23" t="str">
        <f t="shared" si="12"/>
        <v>Put</v>
      </c>
      <c r="AK14" s="20">
        <f t="shared" si="13"/>
        <v>0.60000043378262546</v>
      </c>
      <c r="AL14" s="20">
        <f t="shared" si="14"/>
        <v>0.60000043378262546</v>
      </c>
      <c r="AM14" s="3">
        <f t="shared" si="15"/>
        <v>0.6</v>
      </c>
      <c r="AN14" s="5">
        <f t="shared" si="16"/>
        <v>0.433188833</v>
      </c>
      <c r="AO14" s="5">
        <f t="shared" si="17"/>
        <v>4.3378262548632307E-7</v>
      </c>
      <c r="AP14" s="5">
        <f t="shared" si="18"/>
        <v>2.5918099223445559</v>
      </c>
      <c r="AQ14" s="5">
        <f t="shared" si="19"/>
        <v>2.5082711617506743</v>
      </c>
      <c r="AR14" s="5">
        <f t="shared" si="20"/>
        <v>0.6</v>
      </c>
      <c r="AS14" s="5">
        <f t="shared" si="21"/>
        <v>0.433188833</v>
      </c>
    </row>
    <row r="15" spans="1:45" x14ac:dyDescent="0.25">
      <c r="A15" s="1">
        <v>45322.666666666664</v>
      </c>
      <c r="B15">
        <v>20240216</v>
      </c>
      <c r="C15">
        <v>4663.5</v>
      </c>
      <c r="D15">
        <v>4648.2287960000003</v>
      </c>
      <c r="E15" t="s">
        <v>40</v>
      </c>
      <c r="F15">
        <v>3800</v>
      </c>
      <c r="G15">
        <v>10</v>
      </c>
      <c r="H15" t="s">
        <v>41</v>
      </c>
      <c r="I15" s="3">
        <v>0.4</v>
      </c>
      <c r="J15" s="3">
        <v>0.6</v>
      </c>
      <c r="K15" s="3">
        <v>38.960480859999997</v>
      </c>
      <c r="L15" s="3">
        <v>0.64329366399999999</v>
      </c>
      <c r="M15" s="3">
        <v>0.47842179499999998</v>
      </c>
      <c r="N15" s="3">
        <v>-4.15614E-3</v>
      </c>
      <c r="O15" s="3">
        <v>0.113837551</v>
      </c>
      <c r="P15" s="10">
        <v>1.4701578538317E-5</v>
      </c>
      <c r="Q15" s="3">
        <v>-9.6295504000000004E-2</v>
      </c>
      <c r="R15">
        <v>0</v>
      </c>
      <c r="S15" t="b">
        <v>1</v>
      </c>
      <c r="T15" s="1">
        <v>45322.666666666664</v>
      </c>
      <c r="U15" s="1">
        <v>45338.666666666664</v>
      </c>
      <c r="V15" s="3">
        <f t="shared" si="0"/>
        <v>4.3835616438356165E-2</v>
      </c>
      <c r="W15">
        <v>3.7900000000000003E-2</v>
      </c>
      <c r="X15" s="7">
        <v>0.3878502561659245</v>
      </c>
      <c r="Y15" s="5">
        <f t="shared" si="1"/>
        <v>0.204765172452441</v>
      </c>
      <c r="Z15" s="5">
        <f t="shared" si="2"/>
        <v>0.11311391060398664</v>
      </c>
      <c r="AA15" s="5">
        <f t="shared" si="3"/>
        <v>4.3835616438356165E-2</v>
      </c>
      <c r="AB15" s="5">
        <f t="shared" si="4"/>
        <v>8.120404098399496E-2</v>
      </c>
      <c r="AC15" s="5">
        <f t="shared" si="5"/>
        <v>2.5826743091868503</v>
      </c>
      <c r="AD15" s="5">
        <f t="shared" si="6"/>
        <v>0.9950981088055002</v>
      </c>
      <c r="AE15" s="5">
        <f t="shared" si="7"/>
        <v>4.9018911944997967E-3</v>
      </c>
      <c r="AF15" s="5">
        <f t="shared" si="8"/>
        <v>-3.731391060398663E-2</v>
      </c>
      <c r="AG15" s="5">
        <f t="shared" si="9"/>
        <v>2.5014702682028553</v>
      </c>
      <c r="AH15" s="5">
        <f t="shared" si="10"/>
        <v>0.99381605866239886</v>
      </c>
      <c r="AI15" s="5">
        <f t="shared" si="11"/>
        <v>6.1839413376011659E-3</v>
      </c>
      <c r="AJ15" s="23" t="str">
        <f t="shared" si="12"/>
        <v>Put</v>
      </c>
      <c r="AK15" s="20">
        <f t="shared" si="13"/>
        <v>0.5999994173940344</v>
      </c>
      <c r="AL15" s="20">
        <f t="shared" si="14"/>
        <v>0.5999994173940344</v>
      </c>
      <c r="AM15" s="3">
        <f t="shared" si="15"/>
        <v>0.6</v>
      </c>
      <c r="AN15" s="5">
        <f t="shared" si="16"/>
        <v>0.47842179499999998</v>
      </c>
      <c r="AO15" s="5">
        <f t="shared" si="17"/>
        <v>-5.8260596558223909E-7</v>
      </c>
      <c r="AP15" s="5">
        <f t="shared" si="18"/>
        <v>2.5826743091868503</v>
      </c>
      <c r="AQ15" s="5">
        <f t="shared" si="19"/>
        <v>2.5014702682028553</v>
      </c>
      <c r="AR15" s="5">
        <f t="shared" si="20"/>
        <v>0.6</v>
      </c>
      <c r="AS15" s="5">
        <f t="shared" si="21"/>
        <v>0.47842179499999998</v>
      </c>
    </row>
    <row r="16" spans="1:45" x14ac:dyDescent="0.25">
      <c r="A16" s="1">
        <v>45322.666666666664</v>
      </c>
      <c r="B16">
        <v>20240216</v>
      </c>
      <c r="C16">
        <v>4663.5</v>
      </c>
      <c r="D16">
        <v>4648.2287960000003</v>
      </c>
      <c r="E16" t="s">
        <v>40</v>
      </c>
      <c r="F16">
        <v>3825</v>
      </c>
      <c r="G16">
        <v>10</v>
      </c>
      <c r="H16" t="s">
        <v>41</v>
      </c>
      <c r="I16" s="3">
        <v>0.4</v>
      </c>
      <c r="J16" s="3">
        <v>0.7</v>
      </c>
      <c r="K16" s="3">
        <v>38.226553809999999</v>
      </c>
      <c r="L16" s="3">
        <v>0.64329366399999999</v>
      </c>
      <c r="M16" s="3">
        <v>0.52821476099999998</v>
      </c>
      <c r="N16" s="3">
        <v>-4.6316179999999997E-3</v>
      </c>
      <c r="O16" s="3">
        <v>0.12540473699999999</v>
      </c>
      <c r="P16" s="10">
        <v>1.5973389158795999E-5</v>
      </c>
      <c r="Q16" s="3">
        <v>-0.100721177</v>
      </c>
      <c r="R16">
        <v>0</v>
      </c>
      <c r="S16" t="b">
        <v>1</v>
      </c>
      <c r="T16" s="1">
        <v>45322.666666666664</v>
      </c>
      <c r="U16" s="1">
        <v>45338.666666666664</v>
      </c>
      <c r="V16" s="3">
        <f t="shared" si="0"/>
        <v>4.3835616438356165E-2</v>
      </c>
      <c r="W16">
        <v>3.7900000000000003E-2</v>
      </c>
      <c r="X16" s="7">
        <v>0.38339985554475187</v>
      </c>
      <c r="Y16" s="5">
        <f t="shared" si="1"/>
        <v>0.198207771906282</v>
      </c>
      <c r="Z16" s="5">
        <f t="shared" si="2"/>
        <v>0.1113977246158683</v>
      </c>
      <c r="AA16" s="5">
        <f t="shared" si="3"/>
        <v>4.3835616438356165E-2</v>
      </c>
      <c r="AB16" s="5">
        <f t="shared" si="4"/>
        <v>8.0272262523902127E-2</v>
      </c>
      <c r="AC16" s="5">
        <f t="shared" si="5"/>
        <v>2.5300266050701614</v>
      </c>
      <c r="AD16" s="5">
        <f t="shared" si="6"/>
        <v>0.99429730610329026</v>
      </c>
      <c r="AE16" s="5">
        <f t="shared" si="7"/>
        <v>5.7026938967097898E-3</v>
      </c>
      <c r="AF16" s="5">
        <f t="shared" si="8"/>
        <v>-3.5597724615868298E-2</v>
      </c>
      <c r="AG16" s="5">
        <f t="shared" si="9"/>
        <v>2.4497543425462589</v>
      </c>
      <c r="AH16" s="5">
        <f t="shared" si="10"/>
        <v>0.99285231460402246</v>
      </c>
      <c r="AI16" s="5">
        <f t="shared" si="11"/>
        <v>7.1476853959775979E-3</v>
      </c>
      <c r="AJ16" s="23" t="str">
        <f t="shared" si="12"/>
        <v>Put</v>
      </c>
      <c r="AK16" s="20">
        <f t="shared" si="13"/>
        <v>0.69999968219223163</v>
      </c>
      <c r="AL16" s="20">
        <f t="shared" si="14"/>
        <v>0.69999968219223163</v>
      </c>
      <c r="AM16" s="3">
        <f t="shared" si="15"/>
        <v>0.7</v>
      </c>
      <c r="AN16" s="5">
        <f t="shared" si="16"/>
        <v>0.52821476099999998</v>
      </c>
      <c r="AO16" s="5">
        <f t="shared" si="17"/>
        <v>-3.1780776832412982E-7</v>
      </c>
      <c r="AP16" s="5">
        <f t="shared" si="18"/>
        <v>2.5300266050701614</v>
      </c>
      <c r="AQ16" s="5">
        <f t="shared" si="19"/>
        <v>2.4497543425462589</v>
      </c>
      <c r="AR16" s="5">
        <f t="shared" si="20"/>
        <v>0.7</v>
      </c>
      <c r="AS16" s="5">
        <f t="shared" si="21"/>
        <v>0.52821476099999998</v>
      </c>
    </row>
    <row r="17" spans="1:45" x14ac:dyDescent="0.25">
      <c r="A17" s="1">
        <v>45322.666666666664</v>
      </c>
      <c r="B17">
        <v>20240216</v>
      </c>
      <c r="C17">
        <v>4663.5</v>
      </c>
      <c r="D17">
        <v>4648.2287960000003</v>
      </c>
      <c r="E17" t="s">
        <v>40</v>
      </c>
      <c r="F17">
        <v>3850</v>
      </c>
      <c r="G17">
        <v>10</v>
      </c>
      <c r="H17" t="s">
        <v>41</v>
      </c>
      <c r="I17" s="3">
        <v>0.5</v>
      </c>
      <c r="J17" s="3">
        <v>0.7</v>
      </c>
      <c r="K17" s="3">
        <v>37.454335649999997</v>
      </c>
      <c r="L17" s="3">
        <v>0.64329366399999999</v>
      </c>
      <c r="M17" s="3">
        <v>0.57856918199999996</v>
      </c>
      <c r="N17" s="3">
        <v>-5.1298910000000001E-3</v>
      </c>
      <c r="O17" s="3">
        <v>0.1373595</v>
      </c>
      <c r="P17" s="10">
        <v>1.6795732473756E-5</v>
      </c>
      <c r="Q17" s="3">
        <v>-0.10167087700000001</v>
      </c>
      <c r="R17">
        <v>0</v>
      </c>
      <c r="S17" t="b">
        <v>1</v>
      </c>
      <c r="T17" s="1">
        <v>45322.666666666664</v>
      </c>
      <c r="U17" s="1">
        <v>45338.666666666664</v>
      </c>
      <c r="V17" s="3">
        <f t="shared" si="0"/>
        <v>4.3835616438356165E-2</v>
      </c>
      <c r="W17">
        <v>3.7900000000000003E-2</v>
      </c>
      <c r="X17" s="7">
        <v>0.3721815278105492</v>
      </c>
      <c r="Y17" s="5">
        <f t="shared" si="1"/>
        <v>0.19169309088508829</v>
      </c>
      <c r="Z17" s="5">
        <f t="shared" si="2"/>
        <v>0.1071595448216973</v>
      </c>
      <c r="AA17" s="5">
        <f t="shared" si="3"/>
        <v>4.3835616438356165E-2</v>
      </c>
      <c r="AB17" s="5">
        <f t="shared" si="4"/>
        <v>7.7923486080886548E-2</v>
      </c>
      <c r="AC17" s="5">
        <f t="shared" si="5"/>
        <v>2.5202991481379922</v>
      </c>
      <c r="AD17" s="5">
        <f t="shared" si="6"/>
        <v>0.99413724323502195</v>
      </c>
      <c r="AE17" s="5">
        <f t="shared" si="7"/>
        <v>5.8627567649780134E-3</v>
      </c>
      <c r="AF17" s="5">
        <f t="shared" si="8"/>
        <v>-3.1359544821697297E-2</v>
      </c>
      <c r="AG17" s="5">
        <f t="shared" si="9"/>
        <v>2.4423756620571053</v>
      </c>
      <c r="AH17" s="5">
        <f t="shared" si="10"/>
        <v>0.99270452260403674</v>
      </c>
      <c r="AI17" s="5">
        <f t="shared" si="11"/>
        <v>7.2954773959632152E-3</v>
      </c>
      <c r="AJ17" s="23" t="str">
        <f t="shared" si="12"/>
        <v>Put</v>
      </c>
      <c r="AK17" s="20">
        <f t="shared" si="13"/>
        <v>0.6999966703157412</v>
      </c>
      <c r="AL17" s="20">
        <f t="shared" si="14"/>
        <v>0.6999966703157412</v>
      </c>
      <c r="AM17" s="3">
        <f t="shared" si="15"/>
        <v>0.7</v>
      </c>
      <c r="AN17" s="5">
        <f t="shared" si="16"/>
        <v>0.57856918199999996</v>
      </c>
      <c r="AO17" s="5">
        <f t="shared" si="17"/>
        <v>-3.3296842587571263E-6</v>
      </c>
      <c r="AP17" s="5">
        <f t="shared" si="18"/>
        <v>2.5202991481379922</v>
      </c>
      <c r="AQ17" s="5">
        <f t="shared" si="19"/>
        <v>2.4423756620571053</v>
      </c>
      <c r="AR17" s="5">
        <f t="shared" si="20"/>
        <v>0.7</v>
      </c>
      <c r="AS17" s="5">
        <f t="shared" si="21"/>
        <v>0.57856918199999996</v>
      </c>
    </row>
    <row r="18" spans="1:45" x14ac:dyDescent="0.25">
      <c r="A18" s="1">
        <v>45322.666666666664</v>
      </c>
      <c r="B18">
        <v>20240216</v>
      </c>
      <c r="C18">
        <v>4663.5</v>
      </c>
      <c r="D18">
        <v>4648.2287960000003</v>
      </c>
      <c r="E18" t="s">
        <v>40</v>
      </c>
      <c r="F18">
        <v>3875</v>
      </c>
      <c r="G18">
        <v>10</v>
      </c>
      <c r="H18" t="s">
        <v>41</v>
      </c>
      <c r="I18" s="3">
        <v>0.5</v>
      </c>
      <c r="J18" s="3">
        <v>0.8</v>
      </c>
      <c r="K18" s="3">
        <v>36.64459995</v>
      </c>
      <c r="L18" s="3">
        <v>0.64329366399999999</v>
      </c>
      <c r="M18" s="3">
        <v>0.62887853599999999</v>
      </c>
      <c r="N18" s="3">
        <v>-5.6488500000000004E-3</v>
      </c>
      <c r="O18" s="3">
        <v>0.14964472000000001</v>
      </c>
      <c r="P18" s="10">
        <v>1.7551813849870398E-5</v>
      </c>
      <c r="Q18" s="3">
        <v>-0.10170338299999999</v>
      </c>
      <c r="R18">
        <v>0</v>
      </c>
      <c r="S18" t="b">
        <v>1</v>
      </c>
      <c r="T18" s="1">
        <v>45322.666666666664</v>
      </c>
      <c r="U18" s="1">
        <v>45338.666666666664</v>
      </c>
      <c r="V18" s="3">
        <f t="shared" si="0"/>
        <v>4.3835616438356165E-2</v>
      </c>
      <c r="W18">
        <v>3.7900000000000003E-2</v>
      </c>
      <c r="X18" s="7">
        <v>0.36672350714951413</v>
      </c>
      <c r="Y18" s="5">
        <f t="shared" si="1"/>
        <v>0.1852205763794709</v>
      </c>
      <c r="Z18" s="5">
        <f t="shared" si="2"/>
        <v>0.10514306534801987</v>
      </c>
      <c r="AA18" s="5">
        <f t="shared" si="3"/>
        <v>4.3835616438356165E-2</v>
      </c>
      <c r="AB18" s="5">
        <f t="shared" si="4"/>
        <v>7.6780742647295577E-2</v>
      </c>
      <c r="AC18" s="5">
        <f t="shared" si="5"/>
        <v>2.4723593562416006</v>
      </c>
      <c r="AD18" s="5">
        <f t="shared" si="6"/>
        <v>0.99328877416359773</v>
      </c>
      <c r="AE18" s="5">
        <f t="shared" si="7"/>
        <v>6.7112258364023175E-3</v>
      </c>
      <c r="AF18" s="5">
        <f t="shared" si="8"/>
        <v>-2.9343065348019864E-2</v>
      </c>
      <c r="AG18" s="5">
        <f t="shared" si="9"/>
        <v>2.3955786135943051</v>
      </c>
      <c r="AH18" s="5">
        <f t="shared" si="10"/>
        <v>0.99170292232604174</v>
      </c>
      <c r="AI18" s="5">
        <f t="shared" si="11"/>
        <v>8.2970776739582242E-3</v>
      </c>
      <c r="AJ18" s="23" t="str">
        <f t="shared" si="12"/>
        <v>Put</v>
      </c>
      <c r="AK18" s="20">
        <f t="shared" si="13"/>
        <v>0.80000365015065</v>
      </c>
      <c r="AL18" s="20">
        <f t="shared" si="14"/>
        <v>0.80000365015065</v>
      </c>
      <c r="AM18" s="3">
        <f t="shared" si="15"/>
        <v>0.8</v>
      </c>
      <c r="AN18" s="5">
        <f t="shared" si="16"/>
        <v>0.62887853599999999</v>
      </c>
      <c r="AO18" s="5">
        <f t="shared" si="17"/>
        <v>3.6501506499586611E-6</v>
      </c>
      <c r="AP18" s="5">
        <f t="shared" si="18"/>
        <v>2.4723593562416006</v>
      </c>
      <c r="AQ18" s="5">
        <f t="shared" si="19"/>
        <v>2.3955786135943051</v>
      </c>
      <c r="AR18" s="5">
        <f t="shared" si="20"/>
        <v>0.8</v>
      </c>
      <c r="AS18" s="5">
        <f t="shared" si="21"/>
        <v>0.62887853599999999</v>
      </c>
    </row>
    <row r="19" spans="1:45" x14ac:dyDescent="0.25">
      <c r="A19" s="1">
        <v>45322.666666666664</v>
      </c>
      <c r="B19">
        <v>20240216</v>
      </c>
      <c r="C19">
        <v>4663.5</v>
      </c>
      <c r="D19">
        <v>4648.2287960000003</v>
      </c>
      <c r="E19" t="s">
        <v>40</v>
      </c>
      <c r="F19">
        <v>3900</v>
      </c>
      <c r="G19">
        <v>10</v>
      </c>
      <c r="H19" t="s">
        <v>41</v>
      </c>
      <c r="I19" s="3">
        <v>0.5</v>
      </c>
      <c r="J19" s="3">
        <v>0.8</v>
      </c>
      <c r="K19" s="3">
        <v>35.798101789999997</v>
      </c>
      <c r="L19" s="3">
        <v>0.64329366399999999</v>
      </c>
      <c r="M19" s="3">
        <v>0.67849021300000001</v>
      </c>
      <c r="N19" s="3">
        <v>-6.186057E-3</v>
      </c>
      <c r="O19" s="3">
        <v>0.16219823899999999</v>
      </c>
      <c r="P19" s="10">
        <v>1.86004216274043E-5</v>
      </c>
      <c r="Q19" s="3">
        <v>-0.102857559</v>
      </c>
      <c r="R19">
        <v>0</v>
      </c>
      <c r="S19" t="b">
        <v>1</v>
      </c>
      <c r="T19" s="1">
        <v>45322.666666666664</v>
      </c>
      <c r="U19" s="1">
        <v>45338.666666666664</v>
      </c>
      <c r="V19" s="3">
        <f t="shared" si="0"/>
        <v>4.3835616438356165E-2</v>
      </c>
      <c r="W19">
        <v>3.7900000000000003E-2</v>
      </c>
      <c r="X19" s="7">
        <v>0.35544831413295469</v>
      </c>
      <c r="Y19" s="5">
        <f t="shared" si="1"/>
        <v>0.17878968604918033</v>
      </c>
      <c r="Z19" s="5">
        <f t="shared" si="2"/>
        <v>0.10107175200997982</v>
      </c>
      <c r="AA19" s="5">
        <f t="shared" si="3"/>
        <v>4.3835616438356165E-2</v>
      </c>
      <c r="AB19" s="5">
        <f t="shared" si="4"/>
        <v>7.4420060344619857E-2</v>
      </c>
      <c r="AC19" s="5">
        <f t="shared" si="5"/>
        <v>2.4619736634799469</v>
      </c>
      <c r="AD19" s="5">
        <f t="shared" si="6"/>
        <v>0.99309125937177523</v>
      </c>
      <c r="AE19" s="5">
        <f t="shared" si="7"/>
        <v>6.9087406282247899E-3</v>
      </c>
      <c r="AF19" s="5">
        <f t="shared" si="8"/>
        <v>-2.5271752009979817E-2</v>
      </c>
      <c r="AG19" s="5">
        <f t="shared" si="9"/>
        <v>2.3875536031353271</v>
      </c>
      <c r="AH19" s="5">
        <f t="shared" si="10"/>
        <v>0.99151953542084081</v>
      </c>
      <c r="AI19" s="5">
        <f t="shared" si="11"/>
        <v>8.4804645791591686E-3</v>
      </c>
      <c r="AJ19" s="23" t="str">
        <f t="shared" si="12"/>
        <v>Put</v>
      </c>
      <c r="AK19" s="20">
        <f t="shared" si="13"/>
        <v>0.7999977237884579</v>
      </c>
      <c r="AL19" s="20">
        <f t="shared" si="14"/>
        <v>0.7999977237884579</v>
      </c>
      <c r="AM19" s="3">
        <f t="shared" si="15"/>
        <v>0.8</v>
      </c>
      <c r="AN19" s="5">
        <f t="shared" si="16"/>
        <v>0.67849021300000001</v>
      </c>
      <c r="AO19" s="5">
        <f t="shared" si="17"/>
        <v>-2.2762115421404161E-6</v>
      </c>
      <c r="AP19" s="5">
        <f t="shared" si="18"/>
        <v>2.4619736634799469</v>
      </c>
      <c r="AQ19" s="5">
        <f t="shared" si="19"/>
        <v>2.3875536031353271</v>
      </c>
      <c r="AR19" s="5">
        <f t="shared" si="20"/>
        <v>0.8</v>
      </c>
      <c r="AS19" s="5">
        <f t="shared" si="21"/>
        <v>0.67849021300000001</v>
      </c>
    </row>
    <row r="20" spans="1:45" x14ac:dyDescent="0.25">
      <c r="A20" s="1">
        <v>45322.666666666664</v>
      </c>
      <c r="B20">
        <v>20240216</v>
      </c>
      <c r="C20">
        <v>4663.5</v>
      </c>
      <c r="D20">
        <v>4648.2287960000003</v>
      </c>
      <c r="E20" t="s">
        <v>40</v>
      </c>
      <c r="F20">
        <v>3925</v>
      </c>
      <c r="G20">
        <v>10</v>
      </c>
      <c r="H20" t="s">
        <v>41</v>
      </c>
      <c r="I20" s="3">
        <v>0.6</v>
      </c>
      <c r="J20" s="3">
        <v>0.9</v>
      </c>
      <c r="K20" s="3">
        <v>34.932731230000002</v>
      </c>
      <c r="L20" s="3">
        <v>0.64329366399999999</v>
      </c>
      <c r="M20" s="3">
        <v>0.72971641200000004</v>
      </c>
      <c r="N20" s="3">
        <v>-6.7609410000000003E-3</v>
      </c>
      <c r="O20" s="3">
        <v>0.17546223799999999</v>
      </c>
      <c r="P20" s="10">
        <v>2.0437922511708199E-5</v>
      </c>
      <c r="Q20" s="3">
        <v>-0.107620563</v>
      </c>
      <c r="R20">
        <v>0</v>
      </c>
      <c r="S20" t="b">
        <v>1</v>
      </c>
      <c r="T20" s="1">
        <v>45322.666666666664</v>
      </c>
      <c r="U20" s="1">
        <v>45338.666666666664</v>
      </c>
      <c r="V20" s="3">
        <f t="shared" si="0"/>
        <v>4.3835616438356165E-2</v>
      </c>
      <c r="W20">
        <v>3.7900000000000003E-2</v>
      </c>
      <c r="X20" s="7">
        <v>0.34918209969868041</v>
      </c>
      <c r="Y20" s="5">
        <f t="shared" si="1"/>
        <v>0.17239988795040936</v>
      </c>
      <c r="Z20" s="5">
        <f t="shared" si="2"/>
        <v>9.8864069374989594E-2</v>
      </c>
      <c r="AA20" s="5">
        <f t="shared" si="3"/>
        <v>4.3835616438356165E-2</v>
      </c>
      <c r="AB20" s="5">
        <f t="shared" si="4"/>
        <v>7.310810572902815E-2</v>
      </c>
      <c r="AC20" s="5">
        <f t="shared" si="5"/>
        <v>2.4174290061641268</v>
      </c>
      <c r="AD20" s="5">
        <f t="shared" si="6"/>
        <v>0.9921847086237594</v>
      </c>
      <c r="AE20" s="5">
        <f t="shared" si="7"/>
        <v>7.8152913762405546E-3</v>
      </c>
      <c r="AF20" s="5">
        <f t="shared" si="8"/>
        <v>-2.3064069374989594E-2</v>
      </c>
      <c r="AG20" s="5">
        <f t="shared" si="9"/>
        <v>2.3443209004350991</v>
      </c>
      <c r="AH20" s="5">
        <f t="shared" si="10"/>
        <v>0.99046911851804675</v>
      </c>
      <c r="AI20" s="5">
        <f t="shared" si="11"/>
        <v>9.5308814819531924E-3</v>
      </c>
      <c r="AJ20" s="23" t="str">
        <f t="shared" si="12"/>
        <v>Put</v>
      </c>
      <c r="AK20" s="20">
        <f t="shared" si="13"/>
        <v>0.90000037870814253</v>
      </c>
      <c r="AL20" s="20">
        <f t="shared" si="14"/>
        <v>0.90000037870814253</v>
      </c>
      <c r="AM20" s="3">
        <f t="shared" si="15"/>
        <v>0.9</v>
      </c>
      <c r="AN20" s="5">
        <f t="shared" si="16"/>
        <v>0.72971641200000004</v>
      </c>
      <c r="AO20" s="5">
        <f t="shared" si="17"/>
        <v>3.7870814251217411E-7</v>
      </c>
      <c r="AP20" s="5">
        <f t="shared" si="18"/>
        <v>2.4174290061641268</v>
      </c>
      <c r="AQ20" s="5">
        <f t="shared" si="19"/>
        <v>2.3443209004350991</v>
      </c>
      <c r="AR20" s="5">
        <f t="shared" si="20"/>
        <v>0.9</v>
      </c>
      <c r="AS20" s="5">
        <f t="shared" si="21"/>
        <v>0.72971641200000004</v>
      </c>
    </row>
    <row r="21" spans="1:45" x14ac:dyDescent="0.25">
      <c r="A21" s="1">
        <v>45322.666666666664</v>
      </c>
      <c r="B21">
        <v>20240216</v>
      </c>
      <c r="C21">
        <v>4663.5</v>
      </c>
      <c r="D21">
        <v>4648.2287960000003</v>
      </c>
      <c r="E21" t="s">
        <v>40</v>
      </c>
      <c r="F21">
        <v>3950</v>
      </c>
      <c r="G21">
        <v>10</v>
      </c>
      <c r="H21" t="s">
        <v>41</v>
      </c>
      <c r="I21" s="3">
        <v>0.7</v>
      </c>
      <c r="J21" s="3">
        <v>0.9</v>
      </c>
      <c r="K21" s="3">
        <v>34.06592594</v>
      </c>
      <c r="L21" s="3">
        <v>0.64329366399999999</v>
      </c>
      <c r="M21" s="3">
        <v>0.78569393399999998</v>
      </c>
      <c r="N21" s="3">
        <v>-7.4002260000000002E-3</v>
      </c>
      <c r="O21" s="3">
        <v>0.19002155000000001</v>
      </c>
      <c r="P21" s="10">
        <v>2.29080407941116E-5</v>
      </c>
      <c r="Q21" s="3">
        <v>-0.114715412</v>
      </c>
      <c r="R21">
        <v>0</v>
      </c>
      <c r="S21" t="b">
        <v>1</v>
      </c>
      <c r="T21" s="1">
        <v>45322.666666666664</v>
      </c>
      <c r="U21" s="1">
        <v>45338.666666666664</v>
      </c>
      <c r="V21" s="3">
        <f t="shared" si="0"/>
        <v>4.3835616438356165E-2</v>
      </c>
      <c r="W21">
        <v>3.7900000000000003E-2</v>
      </c>
      <c r="X21" s="7">
        <v>0.3378563337048392</v>
      </c>
      <c r="Y21" s="5">
        <f t="shared" si="1"/>
        <v>0.16605066027175058</v>
      </c>
      <c r="Z21" s="5">
        <f t="shared" si="2"/>
        <v>9.4973451112237831E-2</v>
      </c>
      <c r="AA21" s="5">
        <f t="shared" si="3"/>
        <v>4.3835616438356165E-2</v>
      </c>
      <c r="AB21" s="5">
        <f t="shared" si="4"/>
        <v>7.0736834983894062E-2</v>
      </c>
      <c r="AC21" s="5">
        <f t="shared" si="5"/>
        <v>2.4062976536240179</v>
      </c>
      <c r="AD21" s="5">
        <f t="shared" si="6"/>
        <v>0.99194243568566776</v>
      </c>
      <c r="AE21" s="5">
        <f t="shared" si="7"/>
        <v>8.0575643143322283E-3</v>
      </c>
      <c r="AF21" s="5">
        <f t="shared" si="8"/>
        <v>-1.9173451112237824E-2</v>
      </c>
      <c r="AG21" s="5">
        <f t="shared" si="9"/>
        <v>2.3355608186401233</v>
      </c>
      <c r="AH21" s="5">
        <f t="shared" si="10"/>
        <v>0.99024292866948882</v>
      </c>
      <c r="AI21" s="5">
        <f t="shared" si="11"/>
        <v>9.7570713305111644E-3</v>
      </c>
      <c r="AJ21" s="23" t="str">
        <f t="shared" si="12"/>
        <v>Put</v>
      </c>
      <c r="AK21" s="20">
        <f t="shared" si="13"/>
        <v>0.90000382304439341</v>
      </c>
      <c r="AL21" s="20">
        <f t="shared" si="14"/>
        <v>0.90000382304439341</v>
      </c>
      <c r="AM21" s="3">
        <f t="shared" si="15"/>
        <v>0.9</v>
      </c>
      <c r="AN21" s="5">
        <f t="shared" si="16"/>
        <v>0.78569393399999998</v>
      </c>
      <c r="AO21" s="5">
        <f t="shared" si="17"/>
        <v>3.8230443933917613E-6</v>
      </c>
      <c r="AP21" s="5">
        <f t="shared" si="18"/>
        <v>2.4062976536240179</v>
      </c>
      <c r="AQ21" s="5">
        <f t="shared" si="19"/>
        <v>2.3355608186401233</v>
      </c>
      <c r="AR21" s="5">
        <f t="shared" si="20"/>
        <v>0.9</v>
      </c>
      <c r="AS21" s="5">
        <f t="shared" si="21"/>
        <v>0.78569393399999998</v>
      </c>
    </row>
    <row r="22" spans="1:45" x14ac:dyDescent="0.25">
      <c r="A22" s="1">
        <v>45322.666666666664</v>
      </c>
      <c r="B22">
        <v>20240216</v>
      </c>
      <c r="C22">
        <v>4663.5</v>
      </c>
      <c r="D22">
        <v>4648.2287960000003</v>
      </c>
      <c r="E22" t="s">
        <v>40</v>
      </c>
      <c r="F22">
        <v>3975</v>
      </c>
      <c r="G22">
        <v>10</v>
      </c>
      <c r="H22" t="s">
        <v>41</v>
      </c>
      <c r="I22" s="3">
        <v>0.7</v>
      </c>
      <c r="J22" s="3">
        <v>0.9</v>
      </c>
      <c r="K22" s="3">
        <v>33.197747620000001</v>
      </c>
      <c r="L22" s="3">
        <v>0.64329366399999999</v>
      </c>
      <c r="M22" s="3">
        <v>0.84704551800000005</v>
      </c>
      <c r="N22" s="3">
        <v>-8.1132400000000007E-3</v>
      </c>
      <c r="O22" s="3">
        <v>0.20604143799999999</v>
      </c>
      <c r="P22" s="10">
        <v>2.5754852753988999E-5</v>
      </c>
      <c r="Q22" s="3">
        <v>-0.122481285</v>
      </c>
      <c r="R22">
        <v>0</v>
      </c>
      <c r="S22" t="b">
        <v>1</v>
      </c>
      <c r="T22" s="1">
        <v>45322.666666666664</v>
      </c>
      <c r="U22" s="1">
        <v>45338.666666666664</v>
      </c>
      <c r="V22" s="3">
        <f t="shared" si="0"/>
        <v>4.3835616438356165E-2</v>
      </c>
      <c r="W22">
        <v>3.7900000000000003E-2</v>
      </c>
      <c r="X22" s="7">
        <v>0.32656733558930889</v>
      </c>
      <c r="Y22" s="5">
        <f t="shared" si="1"/>
        <v>0.15974149107848595</v>
      </c>
      <c r="Z22" s="5">
        <f t="shared" si="2"/>
        <v>9.1223112336950157E-2</v>
      </c>
      <c r="AA22" s="5">
        <f t="shared" si="3"/>
        <v>4.3835616438356165E-2</v>
      </c>
      <c r="AB22" s="5">
        <f t="shared" si="4"/>
        <v>6.8373262313596306E-2</v>
      </c>
      <c r="AC22" s="5">
        <f t="shared" si="5"/>
        <v>2.3948003488586083</v>
      </c>
      <c r="AD22" s="5">
        <f t="shared" si="6"/>
        <v>0.99168529126806926</v>
      </c>
      <c r="AE22" s="5">
        <f t="shared" si="7"/>
        <v>8.31470873193077E-3</v>
      </c>
      <c r="AF22" s="5">
        <f t="shared" si="8"/>
        <v>-1.5423112336950144E-2</v>
      </c>
      <c r="AG22" s="5">
        <f t="shared" si="9"/>
        <v>2.3264270865450123</v>
      </c>
      <c r="AH22" s="5">
        <f t="shared" si="10"/>
        <v>0.99000211098841517</v>
      </c>
      <c r="AI22" s="5">
        <f t="shared" si="11"/>
        <v>9.9978890115847985E-3</v>
      </c>
      <c r="AJ22" s="23" t="str">
        <f t="shared" si="12"/>
        <v>Put</v>
      </c>
      <c r="AK22" s="20">
        <f t="shared" si="13"/>
        <v>0.89999395452393571</v>
      </c>
      <c r="AL22" s="20">
        <f t="shared" si="14"/>
        <v>0.89999395452393571</v>
      </c>
      <c r="AM22" s="3">
        <f t="shared" si="15"/>
        <v>0.9</v>
      </c>
      <c r="AN22" s="5">
        <f t="shared" si="16"/>
        <v>0.84704551800000005</v>
      </c>
      <c r="AO22" s="5">
        <f t="shared" si="17"/>
        <v>-6.0454760643091632E-6</v>
      </c>
      <c r="AP22" s="5">
        <f t="shared" si="18"/>
        <v>2.3948003488586083</v>
      </c>
      <c r="AQ22" s="5">
        <f t="shared" si="19"/>
        <v>2.3264270865450123</v>
      </c>
      <c r="AR22" s="5">
        <f t="shared" si="20"/>
        <v>0.9</v>
      </c>
      <c r="AS22" s="5">
        <f t="shared" si="21"/>
        <v>0.84704551800000005</v>
      </c>
    </row>
    <row r="23" spans="1:45" x14ac:dyDescent="0.25">
      <c r="A23" s="1">
        <v>45322.666666666664</v>
      </c>
      <c r="B23">
        <v>20240216</v>
      </c>
      <c r="C23">
        <v>4663.5</v>
      </c>
      <c r="D23">
        <v>4648.2287960000003</v>
      </c>
      <c r="E23" t="s">
        <v>40</v>
      </c>
      <c r="F23">
        <v>4000</v>
      </c>
      <c r="G23">
        <v>10</v>
      </c>
      <c r="H23" t="s">
        <v>41</v>
      </c>
      <c r="I23" s="3">
        <v>0.8</v>
      </c>
      <c r="J23" s="3">
        <v>1</v>
      </c>
      <c r="K23" s="3">
        <v>32.328256230000001</v>
      </c>
      <c r="L23" s="3">
        <v>0.64329366399999999</v>
      </c>
      <c r="M23" s="3">
        <v>0.91450210499999995</v>
      </c>
      <c r="N23" s="3">
        <v>-8.9110149999999996E-3</v>
      </c>
      <c r="O23" s="3">
        <v>0.22371374999999999</v>
      </c>
      <c r="P23" s="10">
        <v>2.9049676558289799E-5</v>
      </c>
      <c r="Q23" s="3">
        <v>-0.131008443</v>
      </c>
      <c r="R23">
        <v>0</v>
      </c>
      <c r="S23" t="b">
        <v>1</v>
      </c>
      <c r="T23" s="1">
        <v>45322.666666666664</v>
      </c>
      <c r="U23" s="1">
        <v>45338.666666666664</v>
      </c>
      <c r="V23" s="3">
        <f t="shared" si="0"/>
        <v>4.3835616438356165E-2</v>
      </c>
      <c r="W23">
        <v>3.7900000000000003E-2</v>
      </c>
      <c r="X23" s="7">
        <v>0.31954561186439517</v>
      </c>
      <c r="Y23" s="5">
        <f t="shared" si="1"/>
        <v>0.15347187806489052</v>
      </c>
      <c r="Z23" s="5">
        <f t="shared" si="2"/>
        <v>8.895469903089534E-2</v>
      </c>
      <c r="AA23" s="5">
        <f t="shared" si="3"/>
        <v>4.3835616438356165E-2</v>
      </c>
      <c r="AB23" s="5">
        <f t="shared" si="4"/>
        <v>6.6903127043420663E-2</v>
      </c>
      <c r="AC23" s="5">
        <f t="shared" si="5"/>
        <v>2.3522258089649988</v>
      </c>
      <c r="AD23" s="5">
        <f t="shared" si="6"/>
        <v>0.99066927881390332</v>
      </c>
      <c r="AE23" s="5">
        <f t="shared" si="7"/>
        <v>9.3307211860966244E-3</v>
      </c>
      <c r="AF23" s="5">
        <f t="shared" si="8"/>
        <v>-1.3154699030895341E-2</v>
      </c>
      <c r="AG23" s="5">
        <f t="shared" si="9"/>
        <v>2.2853226819215782</v>
      </c>
      <c r="AH23" s="5">
        <f t="shared" si="10"/>
        <v>0.9888530430459318</v>
      </c>
      <c r="AI23" s="5">
        <f t="shared" si="11"/>
        <v>1.1146956954068248E-2</v>
      </c>
      <c r="AJ23" s="23" t="str">
        <f t="shared" si="12"/>
        <v>Put</v>
      </c>
      <c r="AK23" s="20">
        <f t="shared" si="13"/>
        <v>0.99999419199961892</v>
      </c>
      <c r="AL23" s="20">
        <f t="shared" si="14"/>
        <v>0.99999419199961892</v>
      </c>
      <c r="AM23" s="3">
        <f t="shared" si="15"/>
        <v>1</v>
      </c>
      <c r="AN23" s="5">
        <f t="shared" si="16"/>
        <v>0.91450210499999995</v>
      </c>
      <c r="AO23" s="5">
        <f t="shared" si="17"/>
        <v>-5.8080003810800918E-6</v>
      </c>
      <c r="AP23" s="5">
        <f t="shared" si="18"/>
        <v>2.3522258089649988</v>
      </c>
      <c r="AQ23" s="5">
        <f t="shared" si="19"/>
        <v>2.2853226819215782</v>
      </c>
      <c r="AR23" s="5">
        <f t="shared" si="20"/>
        <v>1</v>
      </c>
      <c r="AS23" s="5">
        <f t="shared" si="21"/>
        <v>0.91450210499999995</v>
      </c>
    </row>
    <row r="24" spans="1:45" x14ac:dyDescent="0.25">
      <c r="A24" s="1">
        <v>45322.666666666664</v>
      </c>
      <c r="B24">
        <v>20240216</v>
      </c>
      <c r="C24">
        <v>4663.5</v>
      </c>
      <c r="D24">
        <v>4648.2287960000003</v>
      </c>
      <c r="E24" t="s">
        <v>40</v>
      </c>
      <c r="F24">
        <v>4025</v>
      </c>
      <c r="G24">
        <v>10</v>
      </c>
      <c r="H24" t="s">
        <v>41</v>
      </c>
      <c r="I24" s="3">
        <v>0.9</v>
      </c>
      <c r="J24" s="3">
        <v>1.1000000000000001</v>
      </c>
      <c r="K24" s="3">
        <v>31.457510110000001</v>
      </c>
      <c r="L24" s="3">
        <v>0.64329366399999999</v>
      </c>
      <c r="M24" s="3">
        <v>0.98892581499999999</v>
      </c>
      <c r="N24" s="3">
        <v>-9.8066549999999992E-3</v>
      </c>
      <c r="O24" s="3">
        <v>0.24326199000000001</v>
      </c>
      <c r="P24" s="10">
        <v>3.2879987562163002E-5</v>
      </c>
      <c r="Q24" s="3">
        <v>-0.140402151</v>
      </c>
      <c r="R24">
        <v>0</v>
      </c>
      <c r="S24" t="b">
        <v>1</v>
      </c>
      <c r="T24" s="1">
        <v>45322.666666666664</v>
      </c>
      <c r="U24" s="1">
        <v>45338.666666666664</v>
      </c>
      <c r="V24" s="3">
        <f t="shared" si="0"/>
        <v>4.3835616438356165E-2</v>
      </c>
      <c r="W24">
        <v>3.7900000000000003E-2</v>
      </c>
      <c r="X24" s="7">
        <v>0.31204084040112723</v>
      </c>
      <c r="Y24" s="5">
        <f t="shared" si="1"/>
        <v>0.14724132831425449</v>
      </c>
      <c r="Z24" s="5">
        <f t="shared" si="2"/>
        <v>8.6584743039120879E-2</v>
      </c>
      <c r="AA24" s="5">
        <f t="shared" si="3"/>
        <v>4.3835616438356165E-2</v>
      </c>
      <c r="AB24" s="5">
        <f t="shared" si="4"/>
        <v>6.5331856276441932E-2</v>
      </c>
      <c r="AC24" s="5">
        <f t="shared" si="5"/>
        <v>2.3118403870302013</v>
      </c>
      <c r="AD24" s="5">
        <f t="shared" si="6"/>
        <v>0.98960675956917665</v>
      </c>
      <c r="AE24" s="5">
        <f t="shared" si="7"/>
        <v>1.0393240430823366E-2</v>
      </c>
      <c r="AF24" s="5">
        <f t="shared" si="8"/>
        <v>-1.0784743039120873E-2</v>
      </c>
      <c r="AG24" s="5">
        <f t="shared" si="9"/>
        <v>2.2465085307537596</v>
      </c>
      <c r="AH24" s="5">
        <f t="shared" si="10"/>
        <v>0.98766427312867788</v>
      </c>
      <c r="AI24" s="5">
        <f t="shared" si="11"/>
        <v>1.2335726871322136E-2</v>
      </c>
      <c r="AJ24" s="23" t="str">
        <f t="shared" si="12"/>
        <v>Put</v>
      </c>
      <c r="AK24" s="20">
        <f t="shared" si="13"/>
        <v>1.1000032179387418</v>
      </c>
      <c r="AL24" s="20">
        <f t="shared" si="14"/>
        <v>1.1000032179387418</v>
      </c>
      <c r="AM24" s="3">
        <f t="shared" si="15"/>
        <v>1.1000000000000001</v>
      </c>
      <c r="AN24" s="5">
        <f t="shared" si="16"/>
        <v>0.98892581499999999</v>
      </c>
      <c r="AO24" s="5">
        <f t="shared" si="17"/>
        <v>3.217938741695292E-6</v>
      </c>
      <c r="AP24" s="5">
        <f t="shared" si="18"/>
        <v>2.3118403870302013</v>
      </c>
      <c r="AQ24" s="5">
        <f t="shared" si="19"/>
        <v>2.2465085307537596</v>
      </c>
      <c r="AR24" s="5">
        <f t="shared" si="20"/>
        <v>1.1000000000000001</v>
      </c>
      <c r="AS24" s="5">
        <f t="shared" si="21"/>
        <v>0.98892581499999999</v>
      </c>
    </row>
    <row r="25" spans="1:45" x14ac:dyDescent="0.25">
      <c r="A25" s="1">
        <v>45322.666666666664</v>
      </c>
      <c r="B25">
        <v>20240216</v>
      </c>
      <c r="C25">
        <v>4663.5</v>
      </c>
      <c r="D25">
        <v>4648.2287960000003</v>
      </c>
      <c r="E25" t="s">
        <v>40</v>
      </c>
      <c r="F25">
        <v>4050</v>
      </c>
      <c r="G25">
        <v>10</v>
      </c>
      <c r="H25" t="s">
        <v>41</v>
      </c>
      <c r="I25" s="3">
        <v>0.9</v>
      </c>
      <c r="J25" s="3">
        <v>1.2</v>
      </c>
      <c r="K25" s="3">
        <v>30.585565989999999</v>
      </c>
      <c r="L25" s="3">
        <v>0.64329366399999999</v>
      </c>
      <c r="M25" s="3">
        <v>1.071338685</v>
      </c>
      <c r="N25" s="3">
        <v>-1.0815808E-2</v>
      </c>
      <c r="O25" s="3">
        <v>0.264947496</v>
      </c>
      <c r="P25" s="10">
        <v>3.73536830636017E-5</v>
      </c>
      <c r="Q25" s="3">
        <v>-0.15078560999999999</v>
      </c>
      <c r="R25">
        <v>0</v>
      </c>
      <c r="S25" t="b">
        <v>1</v>
      </c>
      <c r="T25" s="1">
        <v>45322.666666666664</v>
      </c>
      <c r="U25" s="1">
        <v>45338.666666666664</v>
      </c>
      <c r="V25" s="3">
        <f t="shared" si="0"/>
        <v>4.3835616438356165E-2</v>
      </c>
      <c r="W25">
        <v>3.7900000000000003E-2</v>
      </c>
      <c r="X25" s="7">
        <v>0.30411631608522455</v>
      </c>
      <c r="Y25" s="5">
        <f t="shared" si="1"/>
        <v>0.14104935806633342</v>
      </c>
      <c r="Z25" s="5">
        <f t="shared" si="2"/>
        <v>8.4143366854624105E-2</v>
      </c>
      <c r="AA25" s="5">
        <f t="shared" si="3"/>
        <v>4.3835616438356165E-2</v>
      </c>
      <c r="AB25" s="5">
        <f t="shared" si="4"/>
        <v>6.3672702035605405E-2</v>
      </c>
      <c r="AC25" s="5">
        <f t="shared" si="5"/>
        <v>2.273153640325615</v>
      </c>
      <c r="AD25" s="5">
        <f t="shared" si="6"/>
        <v>0.98849153854794725</v>
      </c>
      <c r="AE25" s="5">
        <f t="shared" si="7"/>
        <v>1.1508461452052731E-2</v>
      </c>
      <c r="AF25" s="5">
        <f t="shared" si="8"/>
        <v>-8.3433668546240985E-3</v>
      </c>
      <c r="AG25" s="5">
        <f t="shared" si="9"/>
        <v>2.2094809382900094</v>
      </c>
      <c r="AH25" s="5">
        <f t="shared" si="10"/>
        <v>0.98642939659074713</v>
      </c>
      <c r="AI25" s="5">
        <f t="shared" si="11"/>
        <v>1.3570603409252901E-2</v>
      </c>
      <c r="AJ25" s="23" t="str">
        <f t="shared" si="12"/>
        <v>Put</v>
      </c>
      <c r="AK25" s="20">
        <f t="shared" si="13"/>
        <v>1.1999991783737869</v>
      </c>
      <c r="AL25" s="20">
        <f t="shared" si="14"/>
        <v>1.1999991783737869</v>
      </c>
      <c r="AM25" s="3">
        <f t="shared" si="15"/>
        <v>1.2</v>
      </c>
      <c r="AN25" s="5">
        <f t="shared" si="16"/>
        <v>1.071338685</v>
      </c>
      <c r="AO25" s="5">
        <f t="shared" si="17"/>
        <v>-8.2162621306558492E-7</v>
      </c>
      <c r="AP25" s="5">
        <f t="shared" si="18"/>
        <v>2.273153640325615</v>
      </c>
      <c r="AQ25" s="5">
        <f t="shared" si="19"/>
        <v>2.2094809382900094</v>
      </c>
      <c r="AR25" s="5">
        <f t="shared" si="20"/>
        <v>1.2</v>
      </c>
      <c r="AS25" s="5">
        <f t="shared" si="21"/>
        <v>1.071338685</v>
      </c>
    </row>
    <row r="26" spans="1:45" x14ac:dyDescent="0.25">
      <c r="A26" s="1">
        <v>45322.666666666664</v>
      </c>
      <c r="B26">
        <v>20240216</v>
      </c>
      <c r="C26">
        <v>4663.5</v>
      </c>
      <c r="D26">
        <v>4648.2287960000003</v>
      </c>
      <c r="E26" t="s">
        <v>40</v>
      </c>
      <c r="F26">
        <v>4075</v>
      </c>
      <c r="G26">
        <v>10</v>
      </c>
      <c r="H26" t="s">
        <v>41</v>
      </c>
      <c r="I26" s="3">
        <v>1</v>
      </c>
      <c r="J26" s="3">
        <v>1.3</v>
      </c>
      <c r="K26" s="3">
        <v>29.71247902</v>
      </c>
      <c r="L26" s="3">
        <v>0.64329366399999999</v>
      </c>
      <c r="M26" s="3">
        <v>1.162958859</v>
      </c>
      <c r="N26" s="3">
        <v>-1.1957258E-2</v>
      </c>
      <c r="O26" s="3">
        <v>0.28907698799999998</v>
      </c>
      <c r="P26" s="10">
        <v>4.2604633241239997E-5</v>
      </c>
      <c r="Q26" s="3">
        <v>-0.16230355499999999</v>
      </c>
      <c r="R26">
        <v>0</v>
      </c>
      <c r="S26" t="b">
        <v>1</v>
      </c>
      <c r="T26" s="1">
        <v>45322.666666666664</v>
      </c>
      <c r="U26" s="1">
        <v>45338.666666666664</v>
      </c>
      <c r="V26" s="3">
        <f t="shared" si="0"/>
        <v>4.3835616438356165E-2</v>
      </c>
      <c r="W26">
        <v>3.7900000000000003E-2</v>
      </c>
      <c r="X26" s="7">
        <v>0.29582200653611679</v>
      </c>
      <c r="Y26" s="5">
        <f t="shared" si="1"/>
        <v>0.13489549249195504</v>
      </c>
      <c r="Z26" s="5">
        <f t="shared" si="2"/>
        <v>8.1655329775527169E-2</v>
      </c>
      <c r="AA26" s="5">
        <f t="shared" si="3"/>
        <v>4.3835616438356165E-2</v>
      </c>
      <c r="AB26" s="5">
        <f t="shared" si="4"/>
        <v>6.1936126019856833E-2</v>
      </c>
      <c r="AC26" s="5">
        <f t="shared" si="5"/>
        <v>2.2357695436706395</v>
      </c>
      <c r="AD26" s="5">
        <f t="shared" si="6"/>
        <v>0.98731656453459149</v>
      </c>
      <c r="AE26" s="5">
        <f t="shared" si="7"/>
        <v>1.2683435465408534E-2</v>
      </c>
      <c r="AF26" s="5">
        <f t="shared" si="8"/>
        <v>-5.8553297755271558E-3</v>
      </c>
      <c r="AG26" s="5">
        <f t="shared" si="9"/>
        <v>2.1738334176507825</v>
      </c>
      <c r="AH26" s="5">
        <f t="shared" si="10"/>
        <v>0.98514117606603535</v>
      </c>
      <c r="AI26" s="5">
        <f t="shared" si="11"/>
        <v>1.4858823933964668E-2</v>
      </c>
      <c r="AJ26" s="23" t="str">
        <f t="shared" si="12"/>
        <v>Put</v>
      </c>
      <c r="AK26" s="20">
        <f t="shared" si="13"/>
        <v>1.2999942955421915</v>
      </c>
      <c r="AL26" s="20">
        <f t="shared" si="14"/>
        <v>1.2999942955421915</v>
      </c>
      <c r="AM26" s="3">
        <f t="shared" si="15"/>
        <v>1.3</v>
      </c>
      <c r="AN26" s="5">
        <f t="shared" si="16"/>
        <v>1.162958859</v>
      </c>
      <c r="AO26" s="5">
        <f t="shared" si="17"/>
        <v>-5.7044578085641007E-6</v>
      </c>
      <c r="AP26" s="5">
        <f t="shared" si="18"/>
        <v>2.2357695436706395</v>
      </c>
      <c r="AQ26" s="5">
        <f t="shared" si="19"/>
        <v>2.1738334176507825</v>
      </c>
      <c r="AR26" s="5">
        <f t="shared" si="20"/>
        <v>1.3</v>
      </c>
      <c r="AS26" s="5">
        <f t="shared" si="21"/>
        <v>1.162958859</v>
      </c>
    </row>
    <row r="27" spans="1:45" x14ac:dyDescent="0.25">
      <c r="A27" s="1">
        <v>45322.666666666664</v>
      </c>
      <c r="B27">
        <v>20240216</v>
      </c>
      <c r="C27">
        <v>4663.5</v>
      </c>
      <c r="D27">
        <v>4648.2287960000003</v>
      </c>
      <c r="E27" t="s">
        <v>40</v>
      </c>
      <c r="F27">
        <v>4100</v>
      </c>
      <c r="G27">
        <v>10</v>
      </c>
      <c r="H27" t="s">
        <v>41</v>
      </c>
      <c r="I27" s="3">
        <v>1.2</v>
      </c>
      <c r="J27" s="3">
        <v>1.4</v>
      </c>
      <c r="K27" s="3">
        <v>28.838302890000001</v>
      </c>
      <c r="L27" s="3">
        <v>0.64329366399999999</v>
      </c>
      <c r="M27" s="3">
        <v>1.265246474</v>
      </c>
      <c r="N27" s="3">
        <v>-1.3253681E-2</v>
      </c>
      <c r="O27" s="3">
        <v>0.31601180200000001</v>
      </c>
      <c r="P27" s="10">
        <v>4.8801689833997802E-5</v>
      </c>
      <c r="Q27" s="3">
        <v>-0.17513287799999999</v>
      </c>
      <c r="R27">
        <v>0</v>
      </c>
      <c r="S27" t="b">
        <v>1</v>
      </c>
      <c r="T27" s="1">
        <v>45322.666666666664</v>
      </c>
      <c r="U27" s="1">
        <v>45338.666666666664</v>
      </c>
      <c r="V27" s="3">
        <f t="shared" si="0"/>
        <v>4.3835616438356165E-2</v>
      </c>
      <c r="W27">
        <v>3.7900000000000003E-2</v>
      </c>
      <c r="X27" s="7">
        <v>0.28719711059451036</v>
      </c>
      <c r="Y27" s="5">
        <f t="shared" si="1"/>
        <v>0.12877926547451904</v>
      </c>
      <c r="Z27" s="5">
        <f t="shared" si="2"/>
        <v>7.9141090166917713E-2</v>
      </c>
      <c r="AA27" s="5">
        <f t="shared" si="3"/>
        <v>4.3835616438356165E-2</v>
      </c>
      <c r="AB27" s="5">
        <f t="shared" si="4"/>
        <v>6.0130335273581609E-2</v>
      </c>
      <c r="AC27" s="5">
        <f t="shared" si="5"/>
        <v>2.1993634884269979</v>
      </c>
      <c r="AD27" s="5">
        <f t="shared" si="6"/>
        <v>0.98607395668208475</v>
      </c>
      <c r="AE27" s="5">
        <f t="shared" si="7"/>
        <v>1.392604331791528E-2</v>
      </c>
      <c r="AF27" s="5">
        <f t="shared" si="8"/>
        <v>-3.3410901669177068E-3</v>
      </c>
      <c r="AG27" s="5">
        <f t="shared" si="9"/>
        <v>2.1392331531534161</v>
      </c>
      <c r="AH27" s="5">
        <f t="shared" si="10"/>
        <v>0.98379160478650185</v>
      </c>
      <c r="AI27" s="5">
        <f t="shared" si="11"/>
        <v>1.6208395213498122E-2</v>
      </c>
      <c r="AJ27" s="23" t="str">
        <f t="shared" si="12"/>
        <v>Put</v>
      </c>
      <c r="AK27" s="20">
        <f t="shared" si="13"/>
        <v>1.4000036522788974</v>
      </c>
      <c r="AL27" s="20">
        <f t="shared" si="14"/>
        <v>1.4000036522788974</v>
      </c>
      <c r="AM27" s="3">
        <f t="shared" si="15"/>
        <v>1.4</v>
      </c>
      <c r="AN27" s="5">
        <f t="shared" si="16"/>
        <v>1.265246474</v>
      </c>
      <c r="AO27" s="5">
        <f t="shared" si="17"/>
        <v>3.6522788975368314E-6</v>
      </c>
      <c r="AP27" s="5">
        <f t="shared" si="18"/>
        <v>2.1993634884269979</v>
      </c>
      <c r="AQ27" s="5">
        <f t="shared" si="19"/>
        <v>2.1392331531534161</v>
      </c>
      <c r="AR27" s="5">
        <f t="shared" si="20"/>
        <v>1.4</v>
      </c>
      <c r="AS27" s="5">
        <f t="shared" si="21"/>
        <v>1.265246474</v>
      </c>
    </row>
    <row r="28" spans="1:45" x14ac:dyDescent="0.25">
      <c r="A28" s="1">
        <v>45322.666666666664</v>
      </c>
      <c r="B28">
        <v>20240216</v>
      </c>
      <c r="C28">
        <v>4663.5</v>
      </c>
      <c r="D28">
        <v>4648.2287960000003</v>
      </c>
      <c r="E28" t="s">
        <v>40</v>
      </c>
      <c r="F28">
        <v>4125</v>
      </c>
      <c r="G28">
        <v>10</v>
      </c>
      <c r="H28" t="s">
        <v>41</v>
      </c>
      <c r="I28" s="3">
        <v>1.3</v>
      </c>
      <c r="J28" s="3">
        <v>1.5</v>
      </c>
      <c r="K28" s="3">
        <v>27.963124740000001</v>
      </c>
      <c r="L28" s="3">
        <v>0.64329366399999999</v>
      </c>
      <c r="M28" s="3">
        <v>1.3799743289999999</v>
      </c>
      <c r="N28" s="3">
        <v>-1.4732706E-2</v>
      </c>
      <c r="O28" s="3">
        <v>0.34618123899999997</v>
      </c>
      <c r="P28" s="10">
        <v>5.61573173309359E-5</v>
      </c>
      <c r="Q28" s="3">
        <v>-0.18948340399999999</v>
      </c>
      <c r="R28">
        <v>0</v>
      </c>
      <c r="S28" t="b">
        <v>1</v>
      </c>
      <c r="T28" s="1">
        <v>45322.666666666664</v>
      </c>
      <c r="U28" s="1">
        <v>45338.666666666664</v>
      </c>
      <c r="V28" s="3">
        <f t="shared" si="0"/>
        <v>4.3835616438356165E-2</v>
      </c>
      <c r="W28">
        <v>3.7900000000000003E-2</v>
      </c>
      <c r="X28" s="7">
        <v>0.27827148859740031</v>
      </c>
      <c r="Y28" s="5">
        <f t="shared" si="1"/>
        <v>0.12270021939813681</v>
      </c>
      <c r="Z28" s="5">
        <f t="shared" si="2"/>
        <v>7.6617510683106543E-2</v>
      </c>
      <c r="AA28" s="5">
        <f t="shared" si="3"/>
        <v>4.3835616438356165E-2</v>
      </c>
      <c r="AB28" s="5">
        <f t="shared" si="4"/>
        <v>5.8261581642667676E-2</v>
      </c>
      <c r="AC28" s="5">
        <f t="shared" si="5"/>
        <v>2.1636692938075743</v>
      </c>
      <c r="AD28" s="5">
        <f t="shared" si="6"/>
        <v>0.98475513038161522</v>
      </c>
      <c r="AE28" s="5">
        <f t="shared" si="7"/>
        <v>1.5244869618384801E-2</v>
      </c>
      <c r="AF28" s="5">
        <f t="shared" si="8"/>
        <v>-8.1751068310654401E-4</v>
      </c>
      <c r="AG28" s="5">
        <f t="shared" si="9"/>
        <v>2.1054077121649071</v>
      </c>
      <c r="AH28" s="5">
        <f t="shared" si="10"/>
        <v>0.98237208347353067</v>
      </c>
      <c r="AI28" s="5">
        <f t="shared" si="11"/>
        <v>1.7627916526469386E-2</v>
      </c>
      <c r="AJ28" s="23" t="str">
        <f t="shared" si="12"/>
        <v>Put</v>
      </c>
      <c r="AK28" s="20">
        <f t="shared" si="13"/>
        <v>1.4999997349423353</v>
      </c>
      <c r="AL28" s="20">
        <f t="shared" si="14"/>
        <v>1.4999997349423353</v>
      </c>
      <c r="AM28" s="3">
        <f t="shared" si="15"/>
        <v>1.5</v>
      </c>
      <c r="AN28" s="5">
        <f t="shared" si="16"/>
        <v>1.3799743289999999</v>
      </c>
      <c r="AO28" s="5">
        <f t="shared" si="17"/>
        <v>-2.6505766470563685E-7</v>
      </c>
      <c r="AP28" s="5">
        <f t="shared" si="18"/>
        <v>2.1636692938075743</v>
      </c>
      <c r="AQ28" s="5">
        <f t="shared" si="19"/>
        <v>2.1054077121649071</v>
      </c>
      <c r="AR28" s="5">
        <f t="shared" si="20"/>
        <v>1.5</v>
      </c>
      <c r="AS28" s="5">
        <f t="shared" si="21"/>
        <v>1.3799743289999999</v>
      </c>
    </row>
    <row r="29" spans="1:45" x14ac:dyDescent="0.25">
      <c r="A29" s="1">
        <v>45322.666666666664</v>
      </c>
      <c r="B29">
        <v>20240216</v>
      </c>
      <c r="C29">
        <v>4663.5</v>
      </c>
      <c r="D29">
        <v>4648.2287960000003</v>
      </c>
      <c r="E29" t="s">
        <v>40</v>
      </c>
      <c r="F29">
        <v>4150</v>
      </c>
      <c r="G29">
        <v>10</v>
      </c>
      <c r="H29" t="s">
        <v>41</v>
      </c>
      <c r="I29" s="3">
        <v>1.4</v>
      </c>
      <c r="J29" s="3">
        <v>1.6</v>
      </c>
      <c r="K29" s="3">
        <v>27.08702946</v>
      </c>
      <c r="L29" s="3">
        <v>0.64329366399999999</v>
      </c>
      <c r="M29" s="3">
        <v>1.5092955589999999</v>
      </c>
      <c r="N29" s="3">
        <v>-1.6428101000000001E-2</v>
      </c>
      <c r="O29" s="3">
        <v>0.38009517500000001</v>
      </c>
      <c r="P29" s="10">
        <v>6.4936694258341195E-5</v>
      </c>
      <c r="Q29" s="3">
        <v>-0.20559207099999999</v>
      </c>
      <c r="R29">
        <v>0</v>
      </c>
      <c r="S29" t="b">
        <v>1</v>
      </c>
      <c r="T29" s="1">
        <v>45322.666666666664</v>
      </c>
      <c r="U29" s="1">
        <v>45338.666666666664</v>
      </c>
      <c r="V29" s="3">
        <f t="shared" si="0"/>
        <v>4.3835616438356165E-2</v>
      </c>
      <c r="W29">
        <v>3.7900000000000003E-2</v>
      </c>
      <c r="X29" s="7">
        <v>0.26907006120847882</v>
      </c>
      <c r="Y29" s="5">
        <f t="shared" si="1"/>
        <v>0.11665790494217422</v>
      </c>
      <c r="Z29" s="5">
        <f t="shared" si="2"/>
        <v>7.4099348919367272E-2</v>
      </c>
      <c r="AA29" s="5">
        <f t="shared" si="3"/>
        <v>4.3835616438356165E-2</v>
      </c>
      <c r="AB29" s="5">
        <f t="shared" si="4"/>
        <v>5.6335082755732346E-2</v>
      </c>
      <c r="AC29" s="5">
        <f t="shared" si="5"/>
        <v>2.1284444739283628</v>
      </c>
      <c r="AD29" s="5">
        <f t="shared" si="6"/>
        <v>0.98334987546412478</v>
      </c>
      <c r="AE29" s="5">
        <f t="shared" si="7"/>
        <v>1.6650124535875194E-2</v>
      </c>
      <c r="AF29" s="5">
        <f t="shared" si="8"/>
        <v>1.7006510806327341E-3</v>
      </c>
      <c r="AG29" s="5">
        <f t="shared" si="9"/>
        <v>2.0721093911726305</v>
      </c>
      <c r="AH29" s="5">
        <f t="shared" si="10"/>
        <v>0.98087237963588558</v>
      </c>
      <c r="AI29" s="5">
        <f t="shared" si="11"/>
        <v>1.9127620364114448E-2</v>
      </c>
      <c r="AJ29" s="23" t="str">
        <f t="shared" si="12"/>
        <v>Put</v>
      </c>
      <c r="AK29" s="20">
        <f t="shared" si="13"/>
        <v>1.5999993113067745</v>
      </c>
      <c r="AL29" s="20">
        <f t="shared" si="14"/>
        <v>1.5999993113067745</v>
      </c>
      <c r="AM29" s="3">
        <f t="shared" si="15"/>
        <v>1.6</v>
      </c>
      <c r="AN29" s="5">
        <f t="shared" si="16"/>
        <v>1.5092955589999999</v>
      </c>
      <c r="AO29" s="5">
        <f t="shared" si="17"/>
        <v>-6.8869322555897838E-7</v>
      </c>
      <c r="AP29" s="5">
        <f t="shared" si="18"/>
        <v>2.1284444739283628</v>
      </c>
      <c r="AQ29" s="5">
        <f t="shared" si="19"/>
        <v>2.0721093911726305</v>
      </c>
      <c r="AR29" s="5">
        <f t="shared" si="20"/>
        <v>1.6</v>
      </c>
      <c r="AS29" s="5">
        <f t="shared" si="21"/>
        <v>1.5092955589999999</v>
      </c>
    </row>
    <row r="30" spans="1:45" x14ac:dyDescent="0.25">
      <c r="A30" s="1">
        <v>45322.666666666664</v>
      </c>
      <c r="B30">
        <v>20240216</v>
      </c>
      <c r="C30">
        <v>4663.5</v>
      </c>
      <c r="D30">
        <v>4648.2287960000003</v>
      </c>
      <c r="E30" t="s">
        <v>40</v>
      </c>
      <c r="F30">
        <v>4175</v>
      </c>
      <c r="G30">
        <v>10</v>
      </c>
      <c r="H30" t="s">
        <v>41</v>
      </c>
      <c r="I30" s="3">
        <v>1.6</v>
      </c>
      <c r="J30" s="3">
        <v>1.8</v>
      </c>
      <c r="K30" s="3">
        <v>26.210065239999999</v>
      </c>
      <c r="L30" s="3">
        <v>0.64329366399999999</v>
      </c>
      <c r="M30" s="3">
        <v>1.6558282200000001</v>
      </c>
      <c r="N30" s="3">
        <v>-1.8381287E-2</v>
      </c>
      <c r="O30" s="3">
        <v>0.41835906299999998</v>
      </c>
      <c r="P30" s="10">
        <v>7.5477234701418696E-5</v>
      </c>
      <c r="Q30" s="3">
        <v>-0.22374101800000001</v>
      </c>
      <c r="R30">
        <v>0</v>
      </c>
      <c r="S30" t="b">
        <v>1</v>
      </c>
      <c r="T30" s="1">
        <v>45322.666666666664</v>
      </c>
      <c r="U30" s="1">
        <v>45338.666666666664</v>
      </c>
      <c r="V30" s="3">
        <f t="shared" si="0"/>
        <v>4.3835616438356165E-2</v>
      </c>
      <c r="W30">
        <v>3.7900000000000003E-2</v>
      </c>
      <c r="X30" s="7">
        <v>0.26186708318431728</v>
      </c>
      <c r="Y30" s="5">
        <f t="shared" si="1"/>
        <v>0.11065188088196226</v>
      </c>
      <c r="Z30" s="5">
        <f t="shared" si="2"/>
        <v>7.2187184627731077E-2</v>
      </c>
      <c r="AA30" s="5">
        <f t="shared" si="3"/>
        <v>4.3835616438356165E-2</v>
      </c>
      <c r="AB30" s="5">
        <f t="shared" si="4"/>
        <v>5.4826998351037257E-2</v>
      </c>
      <c r="AC30" s="5">
        <f t="shared" si="5"/>
        <v>2.0759161369795294</v>
      </c>
      <c r="AD30" s="5">
        <f t="shared" si="6"/>
        <v>0.98104914601552773</v>
      </c>
      <c r="AE30" s="5">
        <f t="shared" si="7"/>
        <v>1.8950853984472313E-2</v>
      </c>
      <c r="AF30" s="5">
        <f t="shared" si="8"/>
        <v>3.6128153722689293E-3</v>
      </c>
      <c r="AG30" s="5">
        <f t="shared" si="9"/>
        <v>2.0210891386284922</v>
      </c>
      <c r="AH30" s="5">
        <f t="shared" si="10"/>
        <v>0.97836473075454167</v>
      </c>
      <c r="AI30" s="5">
        <f t="shared" si="11"/>
        <v>2.163526924545834E-2</v>
      </c>
      <c r="AJ30" s="23" t="str">
        <f t="shared" si="12"/>
        <v>Put</v>
      </c>
      <c r="AK30" s="20">
        <f t="shared" si="13"/>
        <v>1.7999991631029815</v>
      </c>
      <c r="AL30" s="20">
        <f t="shared" si="14"/>
        <v>1.7999991631029815</v>
      </c>
      <c r="AM30" s="3">
        <f t="shared" si="15"/>
        <v>1.8</v>
      </c>
      <c r="AN30" s="5">
        <f t="shared" si="16"/>
        <v>1.6558282200000001</v>
      </c>
      <c r="AO30" s="5">
        <f t="shared" si="17"/>
        <v>-8.3689701857458942E-7</v>
      </c>
      <c r="AP30" s="5">
        <f t="shared" si="18"/>
        <v>2.0759161369795294</v>
      </c>
      <c r="AQ30" s="5">
        <f t="shared" si="19"/>
        <v>2.0210891386284922</v>
      </c>
      <c r="AR30" s="5">
        <f t="shared" si="20"/>
        <v>1.8</v>
      </c>
      <c r="AS30" s="5">
        <f t="shared" si="21"/>
        <v>1.6558282200000001</v>
      </c>
    </row>
    <row r="31" spans="1:45" x14ac:dyDescent="0.25">
      <c r="A31" s="1">
        <v>45322.666666666664</v>
      </c>
      <c r="B31">
        <v>20240216</v>
      </c>
      <c r="C31">
        <v>4663.5</v>
      </c>
      <c r="D31">
        <v>4648.2287960000003</v>
      </c>
      <c r="E31" t="s">
        <v>42</v>
      </c>
      <c r="F31">
        <v>4200</v>
      </c>
      <c r="G31">
        <v>10</v>
      </c>
      <c r="H31" t="s">
        <v>41</v>
      </c>
      <c r="I31" s="3">
        <v>449.3</v>
      </c>
      <c r="J31" s="3">
        <v>451.2</v>
      </c>
      <c r="K31" s="3">
        <v>25.332278939999998</v>
      </c>
      <c r="L31" s="3">
        <v>0.64329366399999999</v>
      </c>
      <c r="M31" s="3">
        <v>450.19438450000001</v>
      </c>
      <c r="N31" s="3">
        <v>0.97453022700000003</v>
      </c>
      <c r="O31" s="3">
        <v>0.46169681299999998</v>
      </c>
      <c r="P31" s="10">
        <v>9.6381966706545404E-5</v>
      </c>
      <c r="Q31" s="3">
        <v>-0.26689333799999998</v>
      </c>
      <c r="R31">
        <v>0</v>
      </c>
      <c r="S31" t="b">
        <v>1</v>
      </c>
      <c r="T31" s="1">
        <v>45322.666666666664</v>
      </c>
      <c r="U31" s="1">
        <v>45338.666666666664</v>
      </c>
      <c r="V31" s="3">
        <f t="shared" si="0"/>
        <v>4.3835616438356165E-2</v>
      </c>
      <c r="W31">
        <v>3.7900000000000003E-2</v>
      </c>
      <c r="X31" s="7">
        <v>1E-4</v>
      </c>
      <c r="Y31" s="5">
        <f t="shared" si="1"/>
        <v>0.10468171389545848</v>
      </c>
      <c r="Z31" s="5">
        <f t="shared" si="2"/>
        <v>3.7900005E-2</v>
      </c>
      <c r="AA31" s="5">
        <f t="shared" si="3"/>
        <v>4.3835616438356165E-2</v>
      </c>
      <c r="AB31" s="5">
        <f t="shared" si="4"/>
        <v>2.0936956903608547E-5</v>
      </c>
      <c r="AC31" s="5">
        <f t="shared" si="5"/>
        <v>5079.2044167279009</v>
      </c>
      <c r="AD31" s="5">
        <f t="shared" si="6"/>
        <v>1</v>
      </c>
      <c r="AE31" s="5">
        <f t="shared" si="7"/>
        <v>0</v>
      </c>
      <c r="AF31" s="5">
        <f t="shared" si="8"/>
        <v>3.7899995000000006E-2</v>
      </c>
      <c r="AG31" s="5">
        <f t="shared" si="9"/>
        <v>5079.2043957909445</v>
      </c>
      <c r="AH31" s="5">
        <f t="shared" si="10"/>
        <v>1</v>
      </c>
      <c r="AI31" s="5">
        <f t="shared" si="11"/>
        <v>0</v>
      </c>
      <c r="AJ31" s="23">
        <f t="shared" si="12"/>
        <v>470.4719603186395</v>
      </c>
      <c r="AK31" s="20" t="str">
        <f t="shared" si="13"/>
        <v>Call</v>
      </c>
      <c r="AL31" s="20">
        <f t="shared" si="14"/>
        <v>470.4719603186395</v>
      </c>
      <c r="AM31" s="3">
        <f t="shared" si="15"/>
        <v>451.2</v>
      </c>
      <c r="AN31" s="5">
        <f t="shared" si="16"/>
        <v>450.19438450000001</v>
      </c>
      <c r="AO31" s="5">
        <f t="shared" si="17"/>
        <v>19.271960318639515</v>
      </c>
      <c r="AP31" s="5">
        <f t="shared" si="18"/>
        <v>5079.2044167279009</v>
      </c>
      <c r="AQ31" s="5">
        <f t="shared" si="19"/>
        <v>5079.2043957909445</v>
      </c>
      <c r="AR31" s="5">
        <f t="shared" si="20"/>
        <v>451.2</v>
      </c>
      <c r="AS31" s="5">
        <f t="shared" si="21"/>
        <v>450.19438450000001</v>
      </c>
    </row>
    <row r="32" spans="1:45" x14ac:dyDescent="0.25">
      <c r="A32" s="1">
        <v>45322.666666666664</v>
      </c>
      <c r="B32">
        <v>20240216</v>
      </c>
      <c r="C32">
        <v>4663.5</v>
      </c>
      <c r="D32">
        <v>4648.2287960000003</v>
      </c>
      <c r="E32" t="s">
        <v>40</v>
      </c>
      <c r="F32">
        <v>4200</v>
      </c>
      <c r="G32">
        <v>10</v>
      </c>
      <c r="H32" t="s">
        <v>41</v>
      </c>
      <c r="I32" s="3">
        <v>1.7</v>
      </c>
      <c r="J32" s="3">
        <v>1.9</v>
      </c>
      <c r="K32" s="3">
        <v>25.332278939999998</v>
      </c>
      <c r="L32" s="3">
        <v>0.64329366399999999</v>
      </c>
      <c r="M32" s="3">
        <v>1.82279357</v>
      </c>
      <c r="N32" s="3">
        <v>-2.0643528000000001E-2</v>
      </c>
      <c r="O32" s="3">
        <v>0.46169681299999998</v>
      </c>
      <c r="P32" s="10">
        <v>8.8938957927220302E-5</v>
      </c>
      <c r="Q32" s="3">
        <v>-0.246282745</v>
      </c>
      <c r="R32">
        <v>0</v>
      </c>
      <c r="S32" t="b">
        <v>1</v>
      </c>
      <c r="T32" s="1">
        <v>45322.666666666664</v>
      </c>
      <c r="U32" s="1">
        <v>45338.666666666664</v>
      </c>
      <c r="V32" s="3">
        <f t="shared" si="0"/>
        <v>4.3835616438356165E-2</v>
      </c>
      <c r="W32">
        <v>3.7900000000000003E-2</v>
      </c>
      <c r="X32" s="7">
        <v>0.2520128021959484</v>
      </c>
      <c r="Y32" s="5">
        <f t="shared" si="1"/>
        <v>0.10468171389545848</v>
      </c>
      <c r="Z32" s="5">
        <f t="shared" si="2"/>
        <v>6.9655226235327106E-2</v>
      </c>
      <c r="AA32" s="5">
        <f t="shared" si="3"/>
        <v>4.3835616438356165E-2</v>
      </c>
      <c r="AB32" s="5">
        <f t="shared" si="4"/>
        <v>5.276381178734197E-2</v>
      </c>
      <c r="AC32" s="5">
        <f t="shared" si="5"/>
        <v>2.0418368200889314</v>
      </c>
      <c r="AD32" s="5">
        <f t="shared" si="6"/>
        <v>0.97941613971674601</v>
      </c>
      <c r="AE32" s="5">
        <f t="shared" si="7"/>
        <v>2.0583860283254041E-2</v>
      </c>
      <c r="AF32" s="5">
        <f t="shared" si="8"/>
        <v>6.1447737646728937E-3</v>
      </c>
      <c r="AG32" s="5">
        <f t="shared" si="9"/>
        <v>1.9890730083015893</v>
      </c>
      <c r="AH32" s="5">
        <f t="shared" si="10"/>
        <v>0.9766534274494828</v>
      </c>
      <c r="AI32" s="5">
        <f t="shared" si="11"/>
        <v>2.3346572550517222E-2</v>
      </c>
      <c r="AJ32" s="23" t="str">
        <f t="shared" si="12"/>
        <v>Put</v>
      </c>
      <c r="AK32" s="20">
        <f t="shared" si="13"/>
        <v>1.9000009038186647</v>
      </c>
      <c r="AL32" s="20">
        <f t="shared" si="14"/>
        <v>1.9000009038186647</v>
      </c>
      <c r="AM32" s="3">
        <f t="shared" si="15"/>
        <v>1.9</v>
      </c>
      <c r="AN32" s="5">
        <f t="shared" si="16"/>
        <v>1.82279357</v>
      </c>
      <c r="AO32" s="5">
        <f t="shared" si="17"/>
        <v>9.0381866479916084E-7</v>
      </c>
      <c r="AP32" s="5">
        <f t="shared" si="18"/>
        <v>2.0418368200889314</v>
      </c>
      <c r="AQ32" s="5">
        <f t="shared" si="19"/>
        <v>1.9890730083015893</v>
      </c>
      <c r="AR32" s="5">
        <f t="shared" si="20"/>
        <v>1.9</v>
      </c>
      <c r="AS32" s="5">
        <f t="shared" si="21"/>
        <v>1.82279357</v>
      </c>
    </row>
    <row r="33" spans="1:45" x14ac:dyDescent="0.25">
      <c r="A33" s="1">
        <v>45322.666666666664</v>
      </c>
      <c r="B33">
        <v>20240216</v>
      </c>
      <c r="C33">
        <v>4663.5</v>
      </c>
      <c r="D33">
        <v>4648.2287960000003</v>
      </c>
      <c r="E33" t="s">
        <v>42</v>
      </c>
      <c r="F33">
        <v>4225</v>
      </c>
      <c r="G33">
        <v>10</v>
      </c>
      <c r="H33" t="s">
        <v>41</v>
      </c>
      <c r="I33" s="3">
        <v>424.5</v>
      </c>
      <c r="J33" s="3">
        <v>426.5</v>
      </c>
      <c r="K33" s="3">
        <v>24.462944090000001</v>
      </c>
      <c r="L33" s="3">
        <v>0.64329366399999999</v>
      </c>
      <c r="M33" s="3">
        <v>425.43441580000001</v>
      </c>
      <c r="N33" s="3">
        <v>0.97185476699999995</v>
      </c>
      <c r="O33" s="3">
        <v>0.51172052899999998</v>
      </c>
      <c r="P33" s="3">
        <v>1.06963E-4</v>
      </c>
      <c r="Q33" s="3">
        <v>-0.27621297</v>
      </c>
      <c r="R33">
        <v>0</v>
      </c>
      <c r="S33" t="b">
        <v>1</v>
      </c>
      <c r="T33" s="1">
        <v>45322.666666666664</v>
      </c>
      <c r="U33" s="1">
        <v>45338.666666666664</v>
      </c>
      <c r="V33" s="3">
        <f t="shared" si="0"/>
        <v>4.3835616438356165E-2</v>
      </c>
      <c r="W33">
        <v>3.7900000000000003E-2</v>
      </c>
      <c r="X33" s="7">
        <v>1E-4</v>
      </c>
      <c r="Y33" s="5">
        <f t="shared" si="1"/>
        <v>9.8746978375643946E-2</v>
      </c>
      <c r="Z33" s="5">
        <f t="shared" si="2"/>
        <v>3.7900005E-2</v>
      </c>
      <c r="AA33" s="5">
        <f t="shared" si="3"/>
        <v>4.3835616438356165E-2</v>
      </c>
      <c r="AB33" s="5">
        <f t="shared" si="4"/>
        <v>2.0936956903608547E-5</v>
      </c>
      <c r="AC33" s="5">
        <f t="shared" si="5"/>
        <v>4795.7470094677437</v>
      </c>
      <c r="AD33" s="5">
        <f t="shared" si="6"/>
        <v>1</v>
      </c>
      <c r="AE33" s="5">
        <f t="shared" si="7"/>
        <v>0</v>
      </c>
      <c r="AF33" s="5">
        <f t="shared" si="8"/>
        <v>3.7899995000000006E-2</v>
      </c>
      <c r="AG33" s="5">
        <f t="shared" si="9"/>
        <v>4795.7469885307873</v>
      </c>
      <c r="AH33" s="5">
        <f t="shared" si="10"/>
        <v>1</v>
      </c>
      <c r="AI33" s="5">
        <f t="shared" si="11"/>
        <v>0</v>
      </c>
      <c r="AJ33" s="23">
        <f t="shared" si="12"/>
        <v>445.51346008244127</v>
      </c>
      <c r="AK33" s="20" t="str">
        <f t="shared" si="13"/>
        <v>Call</v>
      </c>
      <c r="AL33" s="20">
        <f t="shared" si="14"/>
        <v>445.51346008244127</v>
      </c>
      <c r="AM33" s="3">
        <f t="shared" si="15"/>
        <v>426.5</v>
      </c>
      <c r="AN33" s="5">
        <f t="shared" si="16"/>
        <v>425.43441580000001</v>
      </c>
      <c r="AO33" s="5">
        <f t="shared" si="17"/>
        <v>19.01346008244127</v>
      </c>
      <c r="AP33" s="5">
        <f t="shared" si="18"/>
        <v>4795.7470094677437</v>
      </c>
      <c r="AQ33" s="5">
        <f t="shared" si="19"/>
        <v>4795.7469885307873</v>
      </c>
      <c r="AR33" s="5">
        <f t="shared" si="20"/>
        <v>426.5</v>
      </c>
      <c r="AS33" s="5">
        <f t="shared" si="21"/>
        <v>425.43441580000001</v>
      </c>
    </row>
    <row r="34" spans="1:45" x14ac:dyDescent="0.25">
      <c r="A34" s="1">
        <v>45322.666666666664</v>
      </c>
      <c r="B34">
        <v>20240216</v>
      </c>
      <c r="C34">
        <v>4663.5</v>
      </c>
      <c r="D34">
        <v>4648.2287960000003</v>
      </c>
      <c r="E34" t="s">
        <v>40</v>
      </c>
      <c r="F34">
        <v>4225</v>
      </c>
      <c r="G34">
        <v>10</v>
      </c>
      <c r="H34" t="s">
        <v>41</v>
      </c>
      <c r="I34" s="3">
        <v>1.9</v>
      </c>
      <c r="J34" s="3">
        <v>2.1</v>
      </c>
      <c r="K34" s="3">
        <v>24.462944090000001</v>
      </c>
      <c r="L34" s="3">
        <v>0.64329366399999999</v>
      </c>
      <c r="M34" s="3">
        <v>2.018903527</v>
      </c>
      <c r="N34" s="3">
        <v>-2.3318987999999999E-2</v>
      </c>
      <c r="O34" s="3">
        <v>0.51172052899999998</v>
      </c>
      <c r="P34" s="3">
        <v>1.06963E-4</v>
      </c>
      <c r="Q34" s="3">
        <v>-0.27621297</v>
      </c>
      <c r="R34">
        <v>0</v>
      </c>
      <c r="S34" t="b">
        <v>1</v>
      </c>
      <c r="T34" s="1">
        <v>45322.666666666664</v>
      </c>
      <c r="U34" s="1">
        <v>45338.666666666664</v>
      </c>
      <c r="V34" s="3">
        <f t="shared" si="0"/>
        <v>4.3835616438356165E-2</v>
      </c>
      <c r="W34">
        <v>3.7900000000000003E-2</v>
      </c>
      <c r="X34" s="7">
        <v>0.2438379862915242</v>
      </c>
      <c r="Y34" s="5">
        <f t="shared" si="1"/>
        <v>9.8746978375643946E-2</v>
      </c>
      <c r="Z34" s="5">
        <f t="shared" si="2"/>
        <v>6.7628481779352767E-2</v>
      </c>
      <c r="AA34" s="5">
        <f t="shared" si="3"/>
        <v>4.3835616438356165E-2</v>
      </c>
      <c r="AB34" s="5">
        <f t="shared" si="4"/>
        <v>5.1052254104483337E-2</v>
      </c>
      <c r="AC34" s="5">
        <f t="shared" si="5"/>
        <v>1.9923021294039169</v>
      </c>
      <c r="AD34" s="5">
        <f t="shared" si="6"/>
        <v>0.97683104089426676</v>
      </c>
      <c r="AE34" s="5">
        <f t="shared" si="7"/>
        <v>2.3168959105733203E-2</v>
      </c>
      <c r="AF34" s="5">
        <f t="shared" si="8"/>
        <v>8.1715182206472323E-3</v>
      </c>
      <c r="AG34" s="5">
        <f t="shared" si="9"/>
        <v>1.9412498752994338</v>
      </c>
      <c r="AH34" s="5">
        <f t="shared" si="10"/>
        <v>0.97388601191909419</v>
      </c>
      <c r="AI34" s="5">
        <f t="shared" si="11"/>
        <v>2.6113988080905839E-2</v>
      </c>
      <c r="AJ34" s="23" t="str">
        <f t="shared" si="12"/>
        <v>Put</v>
      </c>
      <c r="AK34" s="20">
        <f t="shared" si="13"/>
        <v>2.1000094392416031</v>
      </c>
      <c r="AL34" s="20">
        <f t="shared" si="14"/>
        <v>2.1000094392416031</v>
      </c>
      <c r="AM34" s="3">
        <f t="shared" si="15"/>
        <v>2.1</v>
      </c>
      <c r="AN34" s="5">
        <f t="shared" si="16"/>
        <v>2.018903527</v>
      </c>
      <c r="AO34" s="5">
        <f t="shared" si="17"/>
        <v>9.439241603015347E-6</v>
      </c>
      <c r="AP34" s="5">
        <f t="shared" si="18"/>
        <v>1.9923021294039169</v>
      </c>
      <c r="AQ34" s="5">
        <f t="shared" si="19"/>
        <v>1.9412498752994338</v>
      </c>
      <c r="AR34" s="5">
        <f t="shared" si="20"/>
        <v>2.1</v>
      </c>
      <c r="AS34" s="5">
        <f t="shared" si="21"/>
        <v>2.018903527</v>
      </c>
    </row>
    <row r="35" spans="1:45" x14ac:dyDescent="0.25">
      <c r="A35" s="1">
        <v>45322.666666666664</v>
      </c>
      <c r="B35">
        <v>20240216</v>
      </c>
      <c r="C35">
        <v>4663.5</v>
      </c>
      <c r="D35">
        <v>4648.2287960000003</v>
      </c>
      <c r="E35" t="s">
        <v>42</v>
      </c>
      <c r="F35">
        <v>4250</v>
      </c>
      <c r="G35">
        <v>10</v>
      </c>
      <c r="H35" t="s">
        <v>41</v>
      </c>
      <c r="I35" s="3">
        <v>399.8</v>
      </c>
      <c r="J35" s="3">
        <v>401.8</v>
      </c>
      <c r="K35" s="3">
        <v>23.611115550000001</v>
      </c>
      <c r="L35" s="3">
        <v>0.64329366399999999</v>
      </c>
      <c r="M35" s="3">
        <v>400.71529909999998</v>
      </c>
      <c r="N35" s="3">
        <v>0.96862701399999995</v>
      </c>
      <c r="O35" s="3">
        <v>0.57047107900000005</v>
      </c>
      <c r="P35" s="3">
        <v>1.30195E-4</v>
      </c>
      <c r="Q35" s="3">
        <v>-0.31320021999999997</v>
      </c>
      <c r="R35">
        <v>0</v>
      </c>
      <c r="S35" t="b">
        <v>1</v>
      </c>
      <c r="T35" s="1">
        <v>45322.666666666664</v>
      </c>
      <c r="U35" s="1">
        <v>45338.666666666664</v>
      </c>
      <c r="V35" s="3">
        <f t="shared" si="0"/>
        <v>4.3835616438356165E-2</v>
      </c>
      <c r="W35">
        <v>3.7900000000000003E-2</v>
      </c>
      <c r="X35" s="7">
        <v>1E-4</v>
      </c>
      <c r="Y35" s="5">
        <f t="shared" si="1"/>
        <v>9.284725624845562E-2</v>
      </c>
      <c r="Z35" s="5">
        <f t="shared" si="2"/>
        <v>3.7900005E-2</v>
      </c>
      <c r="AA35" s="5">
        <f t="shared" si="3"/>
        <v>4.3835616438356165E-2</v>
      </c>
      <c r="AB35" s="5">
        <f t="shared" si="4"/>
        <v>2.0936956903608547E-5</v>
      </c>
      <c r="AC35" s="5">
        <f t="shared" si="5"/>
        <v>4513.9619270247695</v>
      </c>
      <c r="AD35" s="5">
        <f t="shared" si="6"/>
        <v>1</v>
      </c>
      <c r="AE35" s="5">
        <f t="shared" si="7"/>
        <v>0</v>
      </c>
      <c r="AF35" s="5">
        <f t="shared" si="8"/>
        <v>3.7899995000000006E-2</v>
      </c>
      <c r="AG35" s="5">
        <f t="shared" si="9"/>
        <v>4513.9619060878131</v>
      </c>
      <c r="AH35" s="5">
        <f t="shared" si="10"/>
        <v>1</v>
      </c>
      <c r="AI35" s="5">
        <f t="shared" si="11"/>
        <v>0</v>
      </c>
      <c r="AJ35" s="23">
        <f t="shared" si="12"/>
        <v>420.55495984624304</v>
      </c>
      <c r="AK35" s="20" t="str">
        <f t="shared" si="13"/>
        <v>Call</v>
      </c>
      <c r="AL35" s="20">
        <f t="shared" si="14"/>
        <v>420.55495984624304</v>
      </c>
      <c r="AM35" s="3">
        <f t="shared" si="15"/>
        <v>401.8</v>
      </c>
      <c r="AN35" s="5">
        <f t="shared" si="16"/>
        <v>400.71529909999998</v>
      </c>
      <c r="AO35" s="5">
        <f t="shared" si="17"/>
        <v>18.754959846243025</v>
      </c>
      <c r="AP35" s="5">
        <f t="shared" si="18"/>
        <v>4513.9619270247695</v>
      </c>
      <c r="AQ35" s="5">
        <f t="shared" si="19"/>
        <v>4513.9619060878131</v>
      </c>
      <c r="AR35" s="5">
        <f t="shared" si="20"/>
        <v>401.8</v>
      </c>
      <c r="AS35" s="5">
        <f t="shared" si="21"/>
        <v>400.71529909999998</v>
      </c>
    </row>
    <row r="36" spans="1:45" x14ac:dyDescent="0.25">
      <c r="A36" s="1">
        <v>45322.666666666664</v>
      </c>
      <c r="B36">
        <v>20240216</v>
      </c>
      <c r="C36">
        <v>4663.5</v>
      </c>
      <c r="D36">
        <v>4648.2287960000003</v>
      </c>
      <c r="E36" t="s">
        <v>40</v>
      </c>
      <c r="F36">
        <v>4250</v>
      </c>
      <c r="G36">
        <v>10</v>
      </c>
      <c r="H36" t="s">
        <v>41</v>
      </c>
      <c r="I36" s="3">
        <v>2.2000000000000002</v>
      </c>
      <c r="J36" s="3">
        <v>2.4</v>
      </c>
      <c r="K36" s="3">
        <v>23.611115550000001</v>
      </c>
      <c r="L36" s="3">
        <v>0.64329366399999999</v>
      </c>
      <c r="M36" s="3">
        <v>2.2558654090000001</v>
      </c>
      <c r="N36" s="3">
        <v>-2.6546740999999999E-2</v>
      </c>
      <c r="O36" s="3">
        <v>0.57047107900000005</v>
      </c>
      <c r="P36" s="3">
        <v>1.30195E-4</v>
      </c>
      <c r="Q36" s="3">
        <v>-0.31320021999999997</v>
      </c>
      <c r="R36">
        <v>0</v>
      </c>
      <c r="S36" t="b">
        <v>1</v>
      </c>
      <c r="T36" s="1">
        <v>45322.666666666664</v>
      </c>
      <c r="U36" s="1">
        <v>45338.666666666664</v>
      </c>
      <c r="V36" s="3">
        <f t="shared" si="0"/>
        <v>4.3835616438356165E-2</v>
      </c>
      <c r="W36">
        <v>3.7900000000000003E-2</v>
      </c>
      <c r="X36" s="7">
        <v>0.23683083323580198</v>
      </c>
      <c r="Y36" s="5">
        <f t="shared" si="1"/>
        <v>9.284725624845562E-2</v>
      </c>
      <c r="Z36" s="5">
        <f t="shared" si="2"/>
        <v>6.594442178558213E-2</v>
      </c>
      <c r="AA36" s="5">
        <f t="shared" si="3"/>
        <v>4.3835616438356165E-2</v>
      </c>
      <c r="AB36" s="5">
        <f t="shared" si="4"/>
        <v>4.9585169489036886E-2</v>
      </c>
      <c r="AC36" s="5">
        <f t="shared" si="5"/>
        <v>1.9307783277672355</v>
      </c>
      <c r="AD36" s="5">
        <f t="shared" si="6"/>
        <v>0.97324476421169581</v>
      </c>
      <c r="AE36" s="5">
        <f t="shared" si="7"/>
        <v>2.6755235788304153E-2</v>
      </c>
      <c r="AF36" s="5">
        <f t="shared" si="8"/>
        <v>9.8555782144178795E-3</v>
      </c>
      <c r="AG36" s="5">
        <f t="shared" si="9"/>
        <v>1.8811931582781984</v>
      </c>
      <c r="AH36" s="5">
        <f t="shared" si="10"/>
        <v>0.97002717595734778</v>
      </c>
      <c r="AI36" s="5">
        <f t="shared" si="11"/>
        <v>2.9972824042652224E-2</v>
      </c>
      <c r="AJ36" s="23" t="str">
        <f t="shared" si="12"/>
        <v>Put</v>
      </c>
      <c r="AK36" s="20">
        <f t="shared" si="13"/>
        <v>2.4000030124161071</v>
      </c>
      <c r="AL36" s="20">
        <f t="shared" si="14"/>
        <v>2.4000030124161071</v>
      </c>
      <c r="AM36" s="3">
        <f t="shared" si="15"/>
        <v>2.4</v>
      </c>
      <c r="AN36" s="5">
        <f t="shared" si="16"/>
        <v>2.2558654090000001</v>
      </c>
      <c r="AO36" s="5">
        <f t="shared" si="17"/>
        <v>3.0124161072286881E-6</v>
      </c>
      <c r="AP36" s="5">
        <f t="shared" si="18"/>
        <v>1.9307783277672355</v>
      </c>
      <c r="AQ36" s="5">
        <f t="shared" si="19"/>
        <v>1.8811931582781984</v>
      </c>
      <c r="AR36" s="5">
        <f t="shared" si="20"/>
        <v>2.4</v>
      </c>
      <c r="AS36" s="5">
        <f t="shared" si="21"/>
        <v>2.2558654090000001</v>
      </c>
    </row>
    <row r="37" spans="1:45" x14ac:dyDescent="0.25">
      <c r="A37" s="1">
        <v>45322.666666666664</v>
      </c>
      <c r="B37">
        <v>20240216</v>
      </c>
      <c r="C37">
        <v>4663.5</v>
      </c>
      <c r="D37">
        <v>4648.2287960000003</v>
      </c>
      <c r="E37" t="s">
        <v>42</v>
      </c>
      <c r="F37">
        <v>4275</v>
      </c>
      <c r="G37">
        <v>10</v>
      </c>
      <c r="H37" t="s">
        <v>41</v>
      </c>
      <c r="I37" s="3">
        <v>375.1</v>
      </c>
      <c r="J37" s="3">
        <v>377.1</v>
      </c>
      <c r="K37" s="3">
        <v>22.776515570000001</v>
      </c>
      <c r="L37" s="3">
        <v>0.64329366399999999</v>
      </c>
      <c r="M37" s="3">
        <v>376.0470325</v>
      </c>
      <c r="N37" s="3">
        <v>0.96471163500000001</v>
      </c>
      <c r="O37" s="3">
        <v>0.63963221800000003</v>
      </c>
      <c r="P37" s="3">
        <v>1.5933899999999999E-4</v>
      </c>
      <c r="Q37" s="3">
        <v>-0.35668940900000001</v>
      </c>
      <c r="R37">
        <v>0</v>
      </c>
      <c r="S37" t="b">
        <v>1</v>
      </c>
      <c r="T37" s="1">
        <v>45322.666666666664</v>
      </c>
      <c r="U37" s="1">
        <v>45338.666666666664</v>
      </c>
      <c r="V37" s="3">
        <f t="shared" si="0"/>
        <v>4.3835616438356165E-2</v>
      </c>
      <c r="W37">
        <v>3.7900000000000003E-2</v>
      </c>
      <c r="X37" s="7">
        <v>1E-4</v>
      </c>
      <c r="Y37" s="5">
        <f t="shared" si="1"/>
        <v>8.6982136796057569E-2</v>
      </c>
      <c r="Z37" s="5">
        <f t="shared" si="2"/>
        <v>3.7900005E-2</v>
      </c>
      <c r="AA37" s="5">
        <f t="shared" si="3"/>
        <v>4.3835616438356165E-2</v>
      </c>
      <c r="AB37" s="5">
        <f t="shared" si="4"/>
        <v>2.0936956903608547E-5</v>
      </c>
      <c r="AC37" s="5">
        <f t="shared" si="5"/>
        <v>4233.8295525158846</v>
      </c>
      <c r="AD37" s="5">
        <f t="shared" si="6"/>
        <v>1</v>
      </c>
      <c r="AE37" s="5">
        <f t="shared" si="7"/>
        <v>0</v>
      </c>
      <c r="AF37" s="5">
        <f t="shared" si="8"/>
        <v>3.7899995000000006E-2</v>
      </c>
      <c r="AG37" s="5">
        <f t="shared" si="9"/>
        <v>4233.8295315789283</v>
      </c>
      <c r="AH37" s="5">
        <f t="shared" si="10"/>
        <v>1</v>
      </c>
      <c r="AI37" s="5">
        <f t="shared" si="11"/>
        <v>0</v>
      </c>
      <c r="AJ37" s="23">
        <f t="shared" si="12"/>
        <v>395.59645961004389</v>
      </c>
      <c r="AK37" s="20" t="str">
        <f t="shared" si="13"/>
        <v>Call</v>
      </c>
      <c r="AL37" s="20">
        <f t="shared" si="14"/>
        <v>395.59645961004389</v>
      </c>
      <c r="AM37" s="3">
        <f t="shared" si="15"/>
        <v>377.1</v>
      </c>
      <c r="AN37" s="5">
        <f t="shared" si="16"/>
        <v>376.0470325</v>
      </c>
      <c r="AO37" s="5">
        <f t="shared" si="17"/>
        <v>18.496459610043871</v>
      </c>
      <c r="AP37" s="5">
        <f t="shared" si="18"/>
        <v>4233.8295525158846</v>
      </c>
      <c r="AQ37" s="5">
        <f t="shared" si="19"/>
        <v>4233.8295315789283</v>
      </c>
      <c r="AR37" s="5">
        <f t="shared" si="20"/>
        <v>377.1</v>
      </c>
      <c r="AS37" s="5">
        <f t="shared" si="21"/>
        <v>376.0470325</v>
      </c>
    </row>
    <row r="38" spans="1:45" x14ac:dyDescent="0.25">
      <c r="A38" s="1">
        <v>45322.666666666664</v>
      </c>
      <c r="B38">
        <v>20240216</v>
      </c>
      <c r="C38">
        <v>4663.5</v>
      </c>
      <c r="D38">
        <v>4648.2287960000003</v>
      </c>
      <c r="E38" t="s">
        <v>40</v>
      </c>
      <c r="F38">
        <v>4275</v>
      </c>
      <c r="G38">
        <v>10</v>
      </c>
      <c r="H38" t="s">
        <v>41</v>
      </c>
      <c r="I38" s="3">
        <v>2.4</v>
      </c>
      <c r="J38" s="3">
        <v>2.7</v>
      </c>
      <c r="K38" s="3">
        <v>22.776515570000001</v>
      </c>
      <c r="L38" s="3">
        <v>0.64329366399999999</v>
      </c>
      <c r="M38" s="3">
        <v>2.5436774870000001</v>
      </c>
      <c r="N38" s="3">
        <v>-3.0462119999999999E-2</v>
      </c>
      <c r="O38" s="3">
        <v>0.63963221800000003</v>
      </c>
      <c r="P38" s="3">
        <v>1.5933899999999999E-4</v>
      </c>
      <c r="Q38" s="3">
        <v>-0.35668940900000001</v>
      </c>
      <c r="R38">
        <v>0</v>
      </c>
      <c r="S38" t="b">
        <v>1</v>
      </c>
      <c r="T38" s="1">
        <v>45322.666666666664</v>
      </c>
      <c r="U38" s="1">
        <v>45338.666666666664</v>
      </c>
      <c r="V38" s="3">
        <f t="shared" si="0"/>
        <v>4.3835616438356165E-2</v>
      </c>
      <c r="W38">
        <v>3.7900000000000003E-2</v>
      </c>
      <c r="X38" s="7">
        <v>0.22904144330947762</v>
      </c>
      <c r="Y38" s="5">
        <f t="shared" si="1"/>
        <v>8.6982136796057569E-2</v>
      </c>
      <c r="Z38" s="5">
        <f t="shared" si="2"/>
        <v>6.4129991376644324E-2</v>
      </c>
      <c r="AA38" s="5">
        <f t="shared" si="3"/>
        <v>4.3835616438356165E-2</v>
      </c>
      <c r="AB38" s="5">
        <f t="shared" si="4"/>
        <v>4.795430827710833E-2</v>
      </c>
      <c r="AC38" s="5">
        <f t="shared" si="5"/>
        <v>1.8724764828503084</v>
      </c>
      <c r="AD38" s="5">
        <f t="shared" si="6"/>
        <v>0.96942964376143359</v>
      </c>
      <c r="AE38" s="5">
        <f t="shared" si="7"/>
        <v>3.0570356238566455E-2</v>
      </c>
      <c r="AF38" s="5">
        <f t="shared" si="8"/>
        <v>1.1670008623355679E-2</v>
      </c>
      <c r="AG38" s="5">
        <f t="shared" si="9"/>
        <v>1.8245221745732001</v>
      </c>
      <c r="AH38" s="5">
        <f t="shared" si="10"/>
        <v>0.96596341645081574</v>
      </c>
      <c r="AI38" s="5">
        <f t="shared" si="11"/>
        <v>3.4036583549184235E-2</v>
      </c>
      <c r="AJ38" s="23" t="str">
        <f t="shared" si="12"/>
        <v>Put</v>
      </c>
      <c r="AK38" s="20">
        <f t="shared" si="13"/>
        <v>2.6999991137872712</v>
      </c>
      <c r="AL38" s="20">
        <f t="shared" si="14"/>
        <v>2.6999991137872712</v>
      </c>
      <c r="AM38" s="3">
        <f t="shared" si="15"/>
        <v>2.7</v>
      </c>
      <c r="AN38" s="5">
        <f t="shared" si="16"/>
        <v>2.5436774870000001</v>
      </c>
      <c r="AO38" s="5">
        <f t="shared" si="17"/>
        <v>-8.8621272897881909E-7</v>
      </c>
      <c r="AP38" s="5">
        <f t="shared" si="18"/>
        <v>1.8724764828503084</v>
      </c>
      <c r="AQ38" s="5">
        <f t="shared" si="19"/>
        <v>1.8245221745732001</v>
      </c>
      <c r="AR38" s="5">
        <f t="shared" si="20"/>
        <v>2.7</v>
      </c>
      <c r="AS38" s="5">
        <f t="shared" si="21"/>
        <v>2.5436774870000001</v>
      </c>
    </row>
    <row r="39" spans="1:45" x14ac:dyDescent="0.25">
      <c r="A39" s="1">
        <v>45322.666666666664</v>
      </c>
      <c r="B39">
        <v>20240216</v>
      </c>
      <c r="C39">
        <v>4663.5</v>
      </c>
      <c r="D39">
        <v>4648.2287960000003</v>
      </c>
      <c r="E39" t="s">
        <v>42</v>
      </c>
      <c r="F39">
        <v>4300</v>
      </c>
      <c r="G39">
        <v>10</v>
      </c>
      <c r="H39" t="s">
        <v>41</v>
      </c>
      <c r="I39" s="3">
        <v>350.5</v>
      </c>
      <c r="J39" s="3">
        <v>352.5</v>
      </c>
      <c r="K39" s="3">
        <v>21.95887213</v>
      </c>
      <c r="L39" s="3">
        <v>0.64329366399999999</v>
      </c>
      <c r="M39" s="3">
        <v>351.44250299999999</v>
      </c>
      <c r="N39" s="3">
        <v>0.95993604700000001</v>
      </c>
      <c r="O39" s="3">
        <v>0.72120241299999999</v>
      </c>
      <c r="P39" s="3">
        <v>1.9652100000000001E-4</v>
      </c>
      <c r="Q39" s="3">
        <v>-0.40890435600000002</v>
      </c>
      <c r="R39">
        <v>0</v>
      </c>
      <c r="S39" t="b">
        <v>1</v>
      </c>
      <c r="T39" s="1">
        <v>45322.666666666664</v>
      </c>
      <c r="U39" s="1">
        <v>45338.666666666664</v>
      </c>
      <c r="V39" s="3">
        <f t="shared" si="0"/>
        <v>4.3835616438356165E-2</v>
      </c>
      <c r="W39">
        <v>3.7900000000000003E-2</v>
      </c>
      <c r="X39" s="7">
        <v>1E-4</v>
      </c>
      <c r="Y39" s="5">
        <f t="shared" si="1"/>
        <v>8.115121648526448E-2</v>
      </c>
      <c r="Z39" s="5">
        <f t="shared" si="2"/>
        <v>3.7900005E-2</v>
      </c>
      <c r="AA39" s="5">
        <f t="shared" si="3"/>
        <v>4.3835616438356165E-2</v>
      </c>
      <c r="AB39" s="5">
        <f t="shared" si="4"/>
        <v>2.0936956903608547E-5</v>
      </c>
      <c r="AC39" s="5">
        <f t="shared" si="5"/>
        <v>3955.3306122143881</v>
      </c>
      <c r="AD39" s="5">
        <f t="shared" si="6"/>
        <v>1</v>
      </c>
      <c r="AE39" s="5">
        <f t="shared" si="7"/>
        <v>0</v>
      </c>
      <c r="AF39" s="5">
        <f t="shared" si="8"/>
        <v>3.7899995000000006E-2</v>
      </c>
      <c r="AG39" s="5">
        <f t="shared" si="9"/>
        <v>3955.3305912774317</v>
      </c>
      <c r="AH39" s="5">
        <f t="shared" si="10"/>
        <v>1</v>
      </c>
      <c r="AI39" s="5">
        <f t="shared" si="11"/>
        <v>0</v>
      </c>
      <c r="AJ39" s="23">
        <f t="shared" si="12"/>
        <v>370.63795937384566</v>
      </c>
      <c r="AK39" s="20" t="str">
        <f t="shared" si="13"/>
        <v>Call</v>
      </c>
      <c r="AL39" s="20">
        <f t="shared" si="14"/>
        <v>370.63795937384566</v>
      </c>
      <c r="AM39" s="3">
        <f t="shared" si="15"/>
        <v>352.5</v>
      </c>
      <c r="AN39" s="5">
        <f t="shared" si="16"/>
        <v>351.44250299999999</v>
      </c>
      <c r="AO39" s="5">
        <f t="shared" si="17"/>
        <v>18.137959373845661</v>
      </c>
      <c r="AP39" s="5">
        <f t="shared" si="18"/>
        <v>3955.3306122143881</v>
      </c>
      <c r="AQ39" s="5">
        <f t="shared" si="19"/>
        <v>3955.3305912774317</v>
      </c>
      <c r="AR39" s="5">
        <f t="shared" si="20"/>
        <v>352.5</v>
      </c>
      <c r="AS39" s="5">
        <f t="shared" si="21"/>
        <v>351.44250299999999</v>
      </c>
    </row>
    <row r="40" spans="1:45" x14ac:dyDescent="0.25">
      <c r="A40" s="1">
        <v>45322.666666666664</v>
      </c>
      <c r="B40">
        <v>20240216</v>
      </c>
      <c r="C40">
        <v>4663.5</v>
      </c>
      <c r="D40">
        <v>4648.2287960000003</v>
      </c>
      <c r="E40" t="s">
        <v>40</v>
      </c>
      <c r="F40">
        <v>4300</v>
      </c>
      <c r="G40">
        <v>10</v>
      </c>
      <c r="H40" t="s">
        <v>41</v>
      </c>
      <c r="I40" s="3">
        <v>2.7</v>
      </c>
      <c r="J40" s="3">
        <v>3</v>
      </c>
      <c r="K40" s="3">
        <v>21.95887213</v>
      </c>
      <c r="L40" s="3">
        <v>0.64329366399999999</v>
      </c>
      <c r="M40" s="3">
        <v>2.8952266930000001</v>
      </c>
      <c r="N40" s="3">
        <v>-3.5237708E-2</v>
      </c>
      <c r="O40" s="3">
        <v>0.72120241299999999</v>
      </c>
      <c r="P40" s="3">
        <v>1.9652100000000001E-4</v>
      </c>
      <c r="Q40" s="3">
        <v>-0.40890435600000002</v>
      </c>
      <c r="R40">
        <v>0</v>
      </c>
      <c r="S40" t="b">
        <v>1</v>
      </c>
      <c r="T40" s="1">
        <v>45322.666666666664</v>
      </c>
      <c r="U40" s="1">
        <v>45338.666666666664</v>
      </c>
      <c r="V40" s="3">
        <f t="shared" si="0"/>
        <v>4.3835616438356165E-2</v>
      </c>
      <c r="W40">
        <v>3.7900000000000003E-2</v>
      </c>
      <c r="X40" s="7">
        <v>0.22057317530395304</v>
      </c>
      <c r="Y40" s="5">
        <f t="shared" si="1"/>
        <v>8.115121648526448E-2</v>
      </c>
      <c r="Z40" s="5">
        <f t="shared" si="2"/>
        <v>6.2226262831834203E-2</v>
      </c>
      <c r="AA40" s="5">
        <f t="shared" si="3"/>
        <v>4.3835616438356165E-2</v>
      </c>
      <c r="AB40" s="5">
        <f t="shared" si="4"/>
        <v>4.6181310654309582E-2</v>
      </c>
      <c r="AC40" s="5">
        <f t="shared" si="5"/>
        <v>1.8162962871069062</v>
      </c>
      <c r="AD40" s="5">
        <f t="shared" si="6"/>
        <v>0.96533753274831313</v>
      </c>
      <c r="AE40" s="5">
        <f t="shared" si="7"/>
        <v>3.4662467251686847E-2</v>
      </c>
      <c r="AF40" s="5">
        <f t="shared" si="8"/>
        <v>1.3573737168165803E-2</v>
      </c>
      <c r="AG40" s="5">
        <f t="shared" si="9"/>
        <v>1.7701149764525965</v>
      </c>
      <c r="AH40" s="5">
        <f t="shared" si="10"/>
        <v>0.96164600541775724</v>
      </c>
      <c r="AI40" s="5">
        <f t="shared" si="11"/>
        <v>3.8353994582242708E-2</v>
      </c>
      <c r="AJ40" s="23" t="str">
        <f t="shared" si="12"/>
        <v>Put</v>
      </c>
      <c r="AK40" s="20">
        <f t="shared" si="13"/>
        <v>2.9999914202493017</v>
      </c>
      <c r="AL40" s="20">
        <f t="shared" si="14"/>
        <v>2.9999914202493017</v>
      </c>
      <c r="AM40" s="3">
        <f t="shared" si="15"/>
        <v>3</v>
      </c>
      <c r="AN40" s="5">
        <f t="shared" si="16"/>
        <v>2.8952266930000001</v>
      </c>
      <c r="AO40" s="5">
        <f t="shared" si="17"/>
        <v>-8.5797506983453786E-6</v>
      </c>
      <c r="AP40" s="5">
        <f t="shared" si="18"/>
        <v>1.8162962871069062</v>
      </c>
      <c r="AQ40" s="5">
        <f t="shared" si="19"/>
        <v>1.7701149764525965</v>
      </c>
      <c r="AR40" s="5">
        <f t="shared" si="20"/>
        <v>3</v>
      </c>
      <c r="AS40" s="5">
        <f t="shared" si="21"/>
        <v>2.8952266930000001</v>
      </c>
    </row>
    <row r="41" spans="1:45" x14ac:dyDescent="0.25">
      <c r="A41" s="1">
        <v>45322.666666666664</v>
      </c>
      <c r="B41">
        <v>20240216</v>
      </c>
      <c r="C41">
        <v>4663.5</v>
      </c>
      <c r="D41">
        <v>4648.2287960000003</v>
      </c>
      <c r="E41" t="s">
        <v>42</v>
      </c>
      <c r="F41">
        <v>4325</v>
      </c>
      <c r="G41">
        <v>10</v>
      </c>
      <c r="H41" t="s">
        <v>41</v>
      </c>
      <c r="I41" s="3">
        <v>325.89999999999998</v>
      </c>
      <c r="J41" s="3">
        <v>327.9</v>
      </c>
      <c r="K41" s="3">
        <v>21.161437060000001</v>
      </c>
      <c r="L41" s="3">
        <v>0.64329366399999999</v>
      </c>
      <c r="M41" s="3">
        <v>326.9212794</v>
      </c>
      <c r="N41" s="3">
        <v>0.95405495799999995</v>
      </c>
      <c r="O41" s="3">
        <v>0.81792645399999997</v>
      </c>
      <c r="P41" s="3">
        <v>2.44591E-4</v>
      </c>
      <c r="Q41" s="3">
        <v>-0.47263317500000002</v>
      </c>
      <c r="R41">
        <v>0</v>
      </c>
      <c r="S41" t="b">
        <v>1</v>
      </c>
      <c r="T41" s="1">
        <v>45322.666666666664</v>
      </c>
      <c r="U41" s="1">
        <v>45338.666666666664</v>
      </c>
      <c r="V41" s="3">
        <f t="shared" si="0"/>
        <v>4.3835616438356165E-2</v>
      </c>
      <c r="W41">
        <v>3.7900000000000003E-2</v>
      </c>
      <c r="X41" s="7">
        <v>1E-4</v>
      </c>
      <c r="Y41" s="5">
        <f t="shared" si="1"/>
        <v>7.535409880093849E-2</v>
      </c>
      <c r="Z41" s="5">
        <f t="shared" si="2"/>
        <v>3.7900005E-2</v>
      </c>
      <c r="AA41" s="5">
        <f t="shared" si="3"/>
        <v>4.3835616438356165E-2</v>
      </c>
      <c r="AB41" s="5">
        <f t="shared" si="4"/>
        <v>2.0936956903608547E-5</v>
      </c>
      <c r="AC41" s="5">
        <f t="shared" si="5"/>
        <v>3678.4461675925991</v>
      </c>
      <c r="AD41" s="5">
        <f t="shared" si="6"/>
        <v>1</v>
      </c>
      <c r="AE41" s="5">
        <f t="shared" si="7"/>
        <v>0</v>
      </c>
      <c r="AF41" s="5">
        <f t="shared" si="8"/>
        <v>3.7899995000000006E-2</v>
      </c>
      <c r="AG41" s="5">
        <f t="shared" si="9"/>
        <v>3678.4461466556422</v>
      </c>
      <c r="AH41" s="5">
        <f t="shared" si="10"/>
        <v>1</v>
      </c>
      <c r="AI41" s="5">
        <f t="shared" si="11"/>
        <v>0</v>
      </c>
      <c r="AJ41" s="23">
        <f t="shared" si="12"/>
        <v>345.67945913764743</v>
      </c>
      <c r="AK41" s="20" t="str">
        <f t="shared" si="13"/>
        <v>Call</v>
      </c>
      <c r="AL41" s="20">
        <f t="shared" si="14"/>
        <v>345.67945913764743</v>
      </c>
      <c r="AM41" s="3">
        <f t="shared" si="15"/>
        <v>327.9</v>
      </c>
      <c r="AN41" s="5">
        <f t="shared" si="16"/>
        <v>326.9212794</v>
      </c>
      <c r="AO41" s="5">
        <f t="shared" si="17"/>
        <v>17.77945913764745</v>
      </c>
      <c r="AP41" s="5">
        <f t="shared" si="18"/>
        <v>3678.4461675925991</v>
      </c>
      <c r="AQ41" s="5">
        <f t="shared" si="19"/>
        <v>3678.4461466556422</v>
      </c>
      <c r="AR41" s="5">
        <f t="shared" si="20"/>
        <v>327.9</v>
      </c>
      <c r="AS41" s="5">
        <f t="shared" si="21"/>
        <v>326.9212794</v>
      </c>
    </row>
    <row r="42" spans="1:45" x14ac:dyDescent="0.25">
      <c r="A42" s="1">
        <v>45322.666666666664</v>
      </c>
      <c r="B42">
        <v>20240216</v>
      </c>
      <c r="C42">
        <v>4663.5</v>
      </c>
      <c r="D42">
        <v>4648.2287960000003</v>
      </c>
      <c r="E42" t="s">
        <v>40</v>
      </c>
      <c r="F42">
        <v>4325</v>
      </c>
      <c r="G42">
        <v>10</v>
      </c>
      <c r="H42" t="s">
        <v>41</v>
      </c>
      <c r="I42" s="3">
        <v>3.2</v>
      </c>
      <c r="J42" s="3">
        <v>3.4</v>
      </c>
      <c r="K42" s="3">
        <v>21.161437060000001</v>
      </c>
      <c r="L42" s="3">
        <v>0.64329366399999999</v>
      </c>
      <c r="M42" s="3">
        <v>3.3300817070000002</v>
      </c>
      <c r="N42" s="3">
        <v>-4.1118795999999999E-2</v>
      </c>
      <c r="O42" s="3">
        <v>0.81792645399999997</v>
      </c>
      <c r="P42" s="3">
        <v>2.44591E-4</v>
      </c>
      <c r="Q42" s="3">
        <v>-0.47263317500000002</v>
      </c>
      <c r="R42">
        <v>0</v>
      </c>
      <c r="S42" t="b">
        <v>1</v>
      </c>
      <c r="T42" s="1">
        <v>45322.666666666664</v>
      </c>
      <c r="U42" s="1">
        <v>45338.666666666664</v>
      </c>
      <c r="V42" s="3">
        <f t="shared" si="0"/>
        <v>4.3835616438356165E-2</v>
      </c>
      <c r="W42">
        <v>3.7900000000000003E-2</v>
      </c>
      <c r="X42" s="7">
        <v>0.21270007957298301</v>
      </c>
      <c r="Y42" s="5">
        <f t="shared" si="1"/>
        <v>7.535409880093849E-2</v>
      </c>
      <c r="Z42" s="5">
        <f t="shared" si="2"/>
        <v>6.0520661925176654E-2</v>
      </c>
      <c r="AA42" s="5">
        <f t="shared" si="3"/>
        <v>4.3835616438356165E-2</v>
      </c>
      <c r="AB42" s="5">
        <f t="shared" si="4"/>
        <v>4.4532923994136539E-2</v>
      </c>
      <c r="AC42" s="5">
        <f t="shared" si="5"/>
        <v>1.7516716246603707</v>
      </c>
      <c r="AD42" s="5">
        <f t="shared" si="6"/>
        <v>0.96008485561718193</v>
      </c>
      <c r="AE42" s="5">
        <f t="shared" si="7"/>
        <v>3.9915144382818055E-2</v>
      </c>
      <c r="AF42" s="5">
        <f t="shared" si="8"/>
        <v>1.5279338074823352E-2</v>
      </c>
      <c r="AG42" s="5">
        <f t="shared" si="9"/>
        <v>1.7071387006662344</v>
      </c>
      <c r="AH42" s="5">
        <f t="shared" si="10"/>
        <v>0.95610186231866512</v>
      </c>
      <c r="AI42" s="5">
        <f t="shared" si="11"/>
        <v>4.3898137681334853E-2</v>
      </c>
      <c r="AJ42" s="23" t="str">
        <f t="shared" si="12"/>
        <v>Put</v>
      </c>
      <c r="AK42" s="20">
        <f t="shared" si="13"/>
        <v>3.4000047567992624</v>
      </c>
      <c r="AL42" s="20">
        <f t="shared" si="14"/>
        <v>3.4000047567992624</v>
      </c>
      <c r="AM42" s="3">
        <f t="shared" si="15"/>
        <v>3.4</v>
      </c>
      <c r="AN42" s="5">
        <f t="shared" si="16"/>
        <v>3.3300817070000002</v>
      </c>
      <c r="AO42" s="5">
        <f t="shared" si="17"/>
        <v>4.7567992624841793E-6</v>
      </c>
      <c r="AP42" s="5">
        <f t="shared" si="18"/>
        <v>1.7516716246603707</v>
      </c>
      <c r="AQ42" s="5">
        <f t="shared" si="19"/>
        <v>1.7071387006662344</v>
      </c>
      <c r="AR42" s="5">
        <f t="shared" si="20"/>
        <v>3.4</v>
      </c>
      <c r="AS42" s="5">
        <f t="shared" si="21"/>
        <v>3.3300817070000002</v>
      </c>
    </row>
    <row r="43" spans="1:45" x14ac:dyDescent="0.25">
      <c r="A43" s="1">
        <v>45322.666666666664</v>
      </c>
      <c r="B43">
        <v>20240216</v>
      </c>
      <c r="C43">
        <v>4663.5</v>
      </c>
      <c r="D43">
        <v>4648.2287960000003</v>
      </c>
      <c r="E43" t="s">
        <v>42</v>
      </c>
      <c r="F43">
        <v>4350</v>
      </c>
      <c r="G43">
        <v>10</v>
      </c>
      <c r="H43" t="s">
        <v>41</v>
      </c>
      <c r="I43" s="3">
        <v>301.5</v>
      </c>
      <c r="J43" s="3">
        <v>303.5</v>
      </c>
      <c r="K43" s="3">
        <v>20.387386589999998</v>
      </c>
      <c r="L43" s="3">
        <v>0.64329366399999999</v>
      </c>
      <c r="M43" s="3">
        <v>302.50948929999998</v>
      </c>
      <c r="N43" s="3">
        <v>0.94674934099999997</v>
      </c>
      <c r="O43" s="3">
        <v>0.93302755199999998</v>
      </c>
      <c r="P43" s="3">
        <v>3.06275E-4</v>
      </c>
      <c r="Q43" s="3">
        <v>-0.54932380999999997</v>
      </c>
      <c r="R43">
        <v>0</v>
      </c>
      <c r="S43" t="b">
        <v>1</v>
      </c>
      <c r="T43" s="1">
        <v>45322.666666666664</v>
      </c>
      <c r="U43" s="1">
        <v>45338.666666666664</v>
      </c>
      <c r="V43" s="3">
        <f t="shared" si="0"/>
        <v>4.3835616438356165E-2</v>
      </c>
      <c r="W43">
        <v>3.7900000000000003E-2</v>
      </c>
      <c r="X43" s="7">
        <v>1E-4</v>
      </c>
      <c r="Y43" s="5">
        <f t="shared" si="1"/>
        <v>6.9590394084188337E-2</v>
      </c>
      <c r="Z43" s="5">
        <f t="shared" si="2"/>
        <v>3.7900005E-2</v>
      </c>
      <c r="AA43" s="5">
        <f t="shared" si="3"/>
        <v>4.3835616438356165E-2</v>
      </c>
      <c r="AB43" s="5">
        <f t="shared" si="4"/>
        <v>2.0936956903608547E-5</v>
      </c>
      <c r="AC43" s="5">
        <f t="shared" si="5"/>
        <v>3403.1576075938551</v>
      </c>
      <c r="AD43" s="5">
        <f t="shared" si="6"/>
        <v>1</v>
      </c>
      <c r="AE43" s="5">
        <f t="shared" si="7"/>
        <v>0</v>
      </c>
      <c r="AF43" s="5">
        <f t="shared" si="8"/>
        <v>3.7899995000000006E-2</v>
      </c>
      <c r="AG43" s="5">
        <f t="shared" si="9"/>
        <v>3403.1575866568987</v>
      </c>
      <c r="AH43" s="5">
        <f t="shared" si="10"/>
        <v>1</v>
      </c>
      <c r="AI43" s="5">
        <f t="shared" si="11"/>
        <v>0</v>
      </c>
      <c r="AJ43" s="23">
        <f t="shared" si="12"/>
        <v>320.72095890144828</v>
      </c>
      <c r="AK43" s="20" t="str">
        <f t="shared" si="13"/>
        <v>Call</v>
      </c>
      <c r="AL43" s="20">
        <f t="shared" si="14"/>
        <v>320.72095890144828</v>
      </c>
      <c r="AM43" s="3">
        <f t="shared" si="15"/>
        <v>303.5</v>
      </c>
      <c r="AN43" s="5">
        <f t="shared" si="16"/>
        <v>302.50948929999998</v>
      </c>
      <c r="AO43" s="5">
        <f t="shared" si="17"/>
        <v>17.220958901448284</v>
      </c>
      <c r="AP43" s="5">
        <f t="shared" si="18"/>
        <v>3403.1576075938551</v>
      </c>
      <c r="AQ43" s="5">
        <f t="shared" si="19"/>
        <v>3403.1575866568987</v>
      </c>
      <c r="AR43" s="5">
        <f t="shared" si="20"/>
        <v>303.5</v>
      </c>
      <c r="AS43" s="5">
        <f t="shared" si="21"/>
        <v>302.50948929999998</v>
      </c>
    </row>
    <row r="44" spans="1:45" x14ac:dyDescent="0.25">
      <c r="A44" s="1">
        <v>45322.666666666664</v>
      </c>
      <c r="B44">
        <v>20240216</v>
      </c>
      <c r="C44">
        <v>4663.5</v>
      </c>
      <c r="D44">
        <v>4648.2287960000003</v>
      </c>
      <c r="E44" t="s">
        <v>40</v>
      </c>
      <c r="F44">
        <v>4350</v>
      </c>
      <c r="G44">
        <v>10</v>
      </c>
      <c r="H44" t="s">
        <v>41</v>
      </c>
      <c r="I44" s="3">
        <v>3.7</v>
      </c>
      <c r="J44" s="3">
        <v>4</v>
      </c>
      <c r="K44" s="3">
        <v>20.387386589999998</v>
      </c>
      <c r="L44" s="3">
        <v>0.64329366399999999</v>
      </c>
      <c r="M44" s="3">
        <v>3.8743702369999999</v>
      </c>
      <c r="N44" s="3">
        <v>-4.8424413999999999E-2</v>
      </c>
      <c r="O44" s="3">
        <v>0.93302755199999998</v>
      </c>
      <c r="P44" s="3">
        <v>3.06275E-4</v>
      </c>
      <c r="Q44" s="3">
        <v>-0.54932380999999997</v>
      </c>
      <c r="R44">
        <v>0</v>
      </c>
      <c r="S44" t="b">
        <v>1</v>
      </c>
      <c r="T44" s="1">
        <v>45322.666666666664</v>
      </c>
      <c r="U44" s="1">
        <v>45338.666666666664</v>
      </c>
      <c r="V44" s="3">
        <f t="shared" si="0"/>
        <v>4.3835616438356165E-2</v>
      </c>
      <c r="W44">
        <v>3.7900000000000003E-2</v>
      </c>
      <c r="X44" s="7">
        <v>0.20615009173162943</v>
      </c>
      <c r="Y44" s="5">
        <f t="shared" si="1"/>
        <v>6.9590394084188337E-2</v>
      </c>
      <c r="Z44" s="5">
        <f t="shared" si="2"/>
        <v>5.9148930160479618E-2</v>
      </c>
      <c r="AA44" s="5">
        <f t="shared" si="3"/>
        <v>4.3835616438356165E-2</v>
      </c>
      <c r="AB44" s="5">
        <f t="shared" si="4"/>
        <v>4.3161555862600738E-2</v>
      </c>
      <c r="AC44" s="5">
        <f t="shared" si="5"/>
        <v>1.6723962437597997</v>
      </c>
      <c r="AD44" s="5">
        <f t="shared" si="6"/>
        <v>0.95277689384107422</v>
      </c>
      <c r="AE44" s="5">
        <f t="shared" si="7"/>
        <v>4.7223106158925825E-2</v>
      </c>
      <c r="AF44" s="5">
        <f t="shared" si="8"/>
        <v>1.6651069839520388E-2</v>
      </c>
      <c r="AG44" s="5">
        <f t="shared" si="9"/>
        <v>1.6292346878971991</v>
      </c>
      <c r="AH44" s="5">
        <f t="shared" si="10"/>
        <v>0.94836832682619066</v>
      </c>
      <c r="AI44" s="5">
        <f t="shared" si="11"/>
        <v>5.16316731738094E-2</v>
      </c>
      <c r="AJ44" s="23" t="str">
        <f t="shared" si="12"/>
        <v>Put</v>
      </c>
      <c r="AK44" s="20">
        <f t="shared" si="13"/>
        <v>3.9999925439192339</v>
      </c>
      <c r="AL44" s="20">
        <f t="shared" si="14"/>
        <v>3.9999925439192339</v>
      </c>
      <c r="AM44" s="3">
        <f t="shared" si="15"/>
        <v>4</v>
      </c>
      <c r="AN44" s="5">
        <f t="shared" si="16"/>
        <v>3.8743702369999999</v>
      </c>
      <c r="AO44" s="5">
        <f t="shared" si="17"/>
        <v>-7.4560807661327999E-6</v>
      </c>
      <c r="AP44" s="5">
        <f t="shared" si="18"/>
        <v>1.6723962437597997</v>
      </c>
      <c r="AQ44" s="5">
        <f t="shared" si="19"/>
        <v>1.6292346878971991</v>
      </c>
      <c r="AR44" s="5">
        <f t="shared" si="20"/>
        <v>4</v>
      </c>
      <c r="AS44" s="5">
        <f t="shared" si="21"/>
        <v>3.8743702369999999</v>
      </c>
    </row>
    <row r="45" spans="1:45" x14ac:dyDescent="0.25">
      <c r="A45" s="1">
        <v>45322.666666666664</v>
      </c>
      <c r="B45">
        <v>20240216</v>
      </c>
      <c r="C45">
        <v>4663.5</v>
      </c>
      <c r="D45">
        <v>4648.2287960000003</v>
      </c>
      <c r="E45" t="s">
        <v>42</v>
      </c>
      <c r="F45">
        <v>4375</v>
      </c>
      <c r="G45">
        <v>10</v>
      </c>
      <c r="H45" t="s">
        <v>41</v>
      </c>
      <c r="I45" s="3">
        <v>277.2</v>
      </c>
      <c r="J45" s="3">
        <v>279.3</v>
      </c>
      <c r="K45" s="3">
        <v>19.636345339999998</v>
      </c>
      <c r="L45" s="3">
        <v>0.64329366399999999</v>
      </c>
      <c r="M45" s="3">
        <v>278.23841220000003</v>
      </c>
      <c r="N45" s="3">
        <v>0.93763755000000004</v>
      </c>
      <c r="O45" s="3">
        <v>1.0697103889999999</v>
      </c>
      <c r="P45" s="3">
        <v>3.84884E-4</v>
      </c>
      <c r="Q45" s="3">
        <v>-0.640389392</v>
      </c>
      <c r="R45">
        <v>0</v>
      </c>
      <c r="S45" t="b">
        <v>1</v>
      </c>
      <c r="T45" s="1">
        <v>45322.666666666664</v>
      </c>
      <c r="U45" s="1">
        <v>45338.666666666664</v>
      </c>
      <c r="V45" s="3">
        <f t="shared" si="0"/>
        <v>4.3835616438356165E-2</v>
      </c>
      <c r="W45">
        <v>3.7900000000000003E-2</v>
      </c>
      <c r="X45" s="7">
        <v>1E-4</v>
      </c>
      <c r="Y45" s="5">
        <f t="shared" si="1"/>
        <v>6.3859719375203336E-2</v>
      </c>
      <c r="Z45" s="5">
        <f t="shared" si="2"/>
        <v>3.7900005E-2</v>
      </c>
      <c r="AA45" s="5">
        <f t="shared" si="3"/>
        <v>4.3835616438356165E-2</v>
      </c>
      <c r="AB45" s="5">
        <f t="shared" si="4"/>
        <v>2.0936956903608547E-5</v>
      </c>
      <c r="AC45" s="5">
        <f t="shared" si="5"/>
        <v>3129.4466411258818</v>
      </c>
      <c r="AD45" s="5">
        <f t="shared" si="6"/>
        <v>1</v>
      </c>
      <c r="AE45" s="5">
        <f t="shared" si="7"/>
        <v>0</v>
      </c>
      <c r="AF45" s="5">
        <f t="shared" si="8"/>
        <v>3.7899995000000006E-2</v>
      </c>
      <c r="AG45" s="5">
        <f t="shared" si="9"/>
        <v>3129.4466201889254</v>
      </c>
      <c r="AH45" s="5">
        <f t="shared" si="10"/>
        <v>1</v>
      </c>
      <c r="AI45" s="5">
        <f t="shared" si="11"/>
        <v>0</v>
      </c>
      <c r="AJ45" s="23">
        <f t="shared" si="12"/>
        <v>295.76245866525005</v>
      </c>
      <c r="AK45" s="20" t="str">
        <f t="shared" si="13"/>
        <v>Call</v>
      </c>
      <c r="AL45" s="20">
        <f t="shared" si="14"/>
        <v>295.76245866525005</v>
      </c>
      <c r="AM45" s="3">
        <f t="shared" si="15"/>
        <v>279.3</v>
      </c>
      <c r="AN45" s="5">
        <f t="shared" si="16"/>
        <v>278.23841220000003</v>
      </c>
      <c r="AO45" s="5">
        <f t="shared" si="17"/>
        <v>16.46245866525004</v>
      </c>
      <c r="AP45" s="5">
        <f t="shared" si="18"/>
        <v>3129.4466411258818</v>
      </c>
      <c r="AQ45" s="5">
        <f t="shared" si="19"/>
        <v>3129.4466201889254</v>
      </c>
      <c r="AR45" s="5">
        <f t="shared" si="20"/>
        <v>279.3</v>
      </c>
      <c r="AS45" s="5">
        <f t="shared" si="21"/>
        <v>278.23841220000003</v>
      </c>
    </row>
    <row r="46" spans="1:45" x14ac:dyDescent="0.25">
      <c r="A46" s="1">
        <v>45322.666666666664</v>
      </c>
      <c r="B46">
        <v>20240216</v>
      </c>
      <c r="C46">
        <v>4663.5</v>
      </c>
      <c r="D46">
        <v>4648.2287960000003</v>
      </c>
      <c r="E46" t="s">
        <v>40</v>
      </c>
      <c r="F46">
        <v>4375</v>
      </c>
      <c r="G46">
        <v>10</v>
      </c>
      <c r="H46" t="s">
        <v>41</v>
      </c>
      <c r="I46" s="3">
        <v>4.4000000000000004</v>
      </c>
      <c r="J46" s="3">
        <v>4.7</v>
      </c>
      <c r="K46" s="3">
        <v>19.636345339999998</v>
      </c>
      <c r="L46" s="3">
        <v>0.64329366399999999</v>
      </c>
      <c r="M46" s="3">
        <v>4.5593718379999997</v>
      </c>
      <c r="N46" s="3">
        <v>-5.7536205E-2</v>
      </c>
      <c r="O46" s="3">
        <v>1.0697103889999999</v>
      </c>
      <c r="P46" s="3">
        <v>3.84884E-4</v>
      </c>
      <c r="Q46" s="3">
        <v>-0.640389392</v>
      </c>
      <c r="R46">
        <v>0</v>
      </c>
      <c r="S46" t="b">
        <v>1</v>
      </c>
      <c r="T46" s="1">
        <v>45322.666666666664</v>
      </c>
      <c r="U46" s="1">
        <v>45338.666666666664</v>
      </c>
      <c r="V46" s="3">
        <f t="shared" si="0"/>
        <v>4.3835616438356165E-2</v>
      </c>
      <c r="W46">
        <v>3.7900000000000003E-2</v>
      </c>
      <c r="X46" s="7">
        <v>0.19936352425989645</v>
      </c>
      <c r="Y46" s="5">
        <f t="shared" si="1"/>
        <v>6.3859719375203336E-2</v>
      </c>
      <c r="Z46" s="5">
        <f t="shared" si="2"/>
        <v>5.7772907402663165E-2</v>
      </c>
      <c r="AA46" s="5">
        <f t="shared" si="3"/>
        <v>4.3835616438356165E-2</v>
      </c>
      <c r="AB46" s="5">
        <f t="shared" si="4"/>
        <v>4.1740655155809693E-2</v>
      </c>
      <c r="AC46" s="5">
        <f t="shared" si="5"/>
        <v>1.5905890824378761</v>
      </c>
      <c r="AD46" s="5">
        <f t="shared" si="6"/>
        <v>0.94414895846239788</v>
      </c>
      <c r="AE46" s="5">
        <f t="shared" si="7"/>
        <v>5.5851041537602099E-2</v>
      </c>
      <c r="AF46" s="5">
        <f t="shared" si="8"/>
        <v>1.8027092597336841E-2</v>
      </c>
      <c r="AG46" s="5">
        <f t="shared" si="9"/>
        <v>1.5488484272820666</v>
      </c>
      <c r="AH46" s="5">
        <f t="shared" si="10"/>
        <v>0.93929091952561627</v>
      </c>
      <c r="AI46" s="5">
        <f t="shared" si="11"/>
        <v>6.0709080474383739E-2</v>
      </c>
      <c r="AJ46" s="23" t="str">
        <f t="shared" si="12"/>
        <v>Put</v>
      </c>
      <c r="AK46" s="20">
        <f t="shared" si="13"/>
        <v>4.6999976772709147</v>
      </c>
      <c r="AL46" s="20">
        <f t="shared" si="14"/>
        <v>4.6999976772709147</v>
      </c>
      <c r="AM46" s="3">
        <f t="shared" si="15"/>
        <v>4.7</v>
      </c>
      <c r="AN46" s="5">
        <f t="shared" si="16"/>
        <v>4.5593718379999997</v>
      </c>
      <c r="AO46" s="5">
        <f t="shared" si="17"/>
        <v>-2.322729085513231E-6</v>
      </c>
      <c r="AP46" s="5">
        <f t="shared" si="18"/>
        <v>1.5905890824378761</v>
      </c>
      <c r="AQ46" s="5">
        <f t="shared" si="19"/>
        <v>1.5488484272820666</v>
      </c>
      <c r="AR46" s="5">
        <f t="shared" si="20"/>
        <v>4.7</v>
      </c>
      <c r="AS46" s="5">
        <f t="shared" si="21"/>
        <v>4.5593718379999997</v>
      </c>
    </row>
    <row r="47" spans="1:45" x14ac:dyDescent="0.25">
      <c r="A47" s="1">
        <v>45322.666666666664</v>
      </c>
      <c r="B47">
        <v>20240216</v>
      </c>
      <c r="C47">
        <v>4663.5</v>
      </c>
      <c r="D47">
        <v>4648.2287960000003</v>
      </c>
      <c r="E47" t="s">
        <v>42</v>
      </c>
      <c r="F47">
        <v>4400</v>
      </c>
      <c r="G47">
        <v>10</v>
      </c>
      <c r="H47" t="s">
        <v>41</v>
      </c>
      <c r="I47" s="3">
        <v>253.2</v>
      </c>
      <c r="J47" s="3">
        <v>255.2</v>
      </c>
      <c r="K47" s="3">
        <v>18.90794558</v>
      </c>
      <c r="L47" s="3">
        <v>0.64329366399999999</v>
      </c>
      <c r="M47" s="3">
        <v>254.14909800000001</v>
      </c>
      <c r="N47" s="3">
        <v>0.92623614600000004</v>
      </c>
      <c r="O47" s="3">
        <v>1.2313655590000001</v>
      </c>
      <c r="P47" s="3">
        <v>4.8493199999999998E-4</v>
      </c>
      <c r="Q47" s="3">
        <v>-0.74810522800000001</v>
      </c>
      <c r="R47">
        <v>0</v>
      </c>
      <c r="S47" t="b">
        <v>1</v>
      </c>
      <c r="T47" s="1">
        <v>45322.666666666664</v>
      </c>
      <c r="U47" s="1">
        <v>45338.666666666664</v>
      </c>
      <c r="V47" s="3">
        <f t="shared" si="0"/>
        <v>4.3835616438356165E-2</v>
      </c>
      <c r="W47">
        <v>3.7900000000000003E-2</v>
      </c>
      <c r="X47" s="7">
        <v>1E-4</v>
      </c>
      <c r="Y47" s="5">
        <f t="shared" si="1"/>
        <v>5.8161698260565602E-2</v>
      </c>
      <c r="Z47" s="5">
        <f t="shared" si="2"/>
        <v>3.7900005E-2</v>
      </c>
      <c r="AA47" s="5">
        <f t="shared" si="3"/>
        <v>4.3835616438356165E-2</v>
      </c>
      <c r="AB47" s="5">
        <f t="shared" si="4"/>
        <v>2.0936956903608547E-5</v>
      </c>
      <c r="AC47" s="5">
        <f t="shared" si="5"/>
        <v>2857.2952897680511</v>
      </c>
      <c r="AD47" s="5">
        <f t="shared" si="6"/>
        <v>1</v>
      </c>
      <c r="AE47" s="5">
        <f t="shared" si="7"/>
        <v>0</v>
      </c>
      <c r="AF47" s="5">
        <f t="shared" si="8"/>
        <v>3.7899995000000006E-2</v>
      </c>
      <c r="AG47" s="5">
        <f t="shared" si="9"/>
        <v>2857.2952688310943</v>
      </c>
      <c r="AH47" s="5">
        <f t="shared" si="10"/>
        <v>1</v>
      </c>
      <c r="AI47" s="5">
        <f t="shared" si="11"/>
        <v>0</v>
      </c>
      <c r="AJ47" s="23">
        <f t="shared" si="12"/>
        <v>270.80395842905091</v>
      </c>
      <c r="AK47" s="20" t="str">
        <f t="shared" si="13"/>
        <v>Call</v>
      </c>
      <c r="AL47" s="20">
        <f t="shared" si="14"/>
        <v>270.80395842905091</v>
      </c>
      <c r="AM47" s="3">
        <f t="shared" si="15"/>
        <v>255.2</v>
      </c>
      <c r="AN47" s="5">
        <f t="shared" si="16"/>
        <v>254.14909800000001</v>
      </c>
      <c r="AO47" s="5">
        <f t="shared" si="17"/>
        <v>15.60395842905092</v>
      </c>
      <c r="AP47" s="5">
        <f t="shared" si="18"/>
        <v>2857.2952897680511</v>
      </c>
      <c r="AQ47" s="5">
        <f t="shared" si="19"/>
        <v>2857.2952688310943</v>
      </c>
      <c r="AR47" s="5">
        <f t="shared" si="20"/>
        <v>255.2</v>
      </c>
      <c r="AS47" s="5">
        <f t="shared" si="21"/>
        <v>254.14909800000001</v>
      </c>
    </row>
    <row r="48" spans="1:45" x14ac:dyDescent="0.25">
      <c r="A48" s="1">
        <v>45322.666666666664</v>
      </c>
      <c r="B48">
        <v>20240216</v>
      </c>
      <c r="C48">
        <v>4663.5</v>
      </c>
      <c r="D48">
        <v>4648.2287960000003</v>
      </c>
      <c r="E48" t="s">
        <v>40</v>
      </c>
      <c r="F48">
        <v>4400</v>
      </c>
      <c r="G48">
        <v>10</v>
      </c>
      <c r="H48" t="s">
        <v>41</v>
      </c>
      <c r="I48" s="3">
        <v>5.3</v>
      </c>
      <c r="J48" s="3">
        <v>5.5</v>
      </c>
      <c r="K48" s="3">
        <v>18.90794558</v>
      </c>
      <c r="L48" s="3">
        <v>0.64329366399999999</v>
      </c>
      <c r="M48" s="3">
        <v>5.4261362159999997</v>
      </c>
      <c r="N48" s="3">
        <v>-6.8937608999999997E-2</v>
      </c>
      <c r="O48" s="3">
        <v>1.2313655590000001</v>
      </c>
      <c r="P48" s="3">
        <v>4.8493199999999998E-4</v>
      </c>
      <c r="Q48" s="3">
        <v>-0.74810522800000001</v>
      </c>
      <c r="R48">
        <v>0</v>
      </c>
      <c r="S48" t="b">
        <v>1</v>
      </c>
      <c r="T48" s="1">
        <v>45322.666666666664</v>
      </c>
      <c r="U48" s="1">
        <v>45338.666666666664</v>
      </c>
      <c r="V48" s="3">
        <f t="shared" si="0"/>
        <v>4.3835616438356165E-2</v>
      </c>
      <c r="W48">
        <v>3.7900000000000003E-2</v>
      </c>
      <c r="X48" s="7">
        <v>0.1921857323076093</v>
      </c>
      <c r="Y48" s="5">
        <f t="shared" si="1"/>
        <v>5.8161698260565602E-2</v>
      </c>
      <c r="Z48" s="5">
        <f t="shared" si="2"/>
        <v>5.6367677851306031E-2</v>
      </c>
      <c r="AA48" s="5">
        <f t="shared" si="3"/>
        <v>4.3835616438356165E-2</v>
      </c>
      <c r="AB48" s="5">
        <f t="shared" si="4"/>
        <v>4.0237843948128647E-2</v>
      </c>
      <c r="AC48" s="5">
        <f t="shared" si="5"/>
        <v>1.5068553435551593</v>
      </c>
      <c r="AD48" s="5">
        <f t="shared" si="6"/>
        <v>0.9340761299713225</v>
      </c>
      <c r="AE48" s="5">
        <f t="shared" si="7"/>
        <v>6.5923870028677528E-2</v>
      </c>
      <c r="AF48" s="5">
        <f t="shared" si="8"/>
        <v>1.9432322148693972E-2</v>
      </c>
      <c r="AG48" s="5">
        <f t="shared" si="9"/>
        <v>1.4666174996070305</v>
      </c>
      <c r="AH48" s="5">
        <f t="shared" si="10"/>
        <v>0.92875993156924097</v>
      </c>
      <c r="AI48" s="5">
        <f t="shared" si="11"/>
        <v>7.1240068430759002E-2</v>
      </c>
      <c r="AJ48" s="23" t="str">
        <f t="shared" si="12"/>
        <v>Put</v>
      </c>
      <c r="AK48" s="20">
        <f t="shared" si="13"/>
        <v>5.499998718300958</v>
      </c>
      <c r="AL48" s="20">
        <f t="shared" si="14"/>
        <v>5.499998718300958</v>
      </c>
      <c r="AM48" s="3">
        <f t="shared" si="15"/>
        <v>5.5</v>
      </c>
      <c r="AN48" s="5">
        <f t="shared" si="16"/>
        <v>5.4261362159999997</v>
      </c>
      <c r="AO48" s="5">
        <f t="shared" si="17"/>
        <v>-1.2816990420105867E-6</v>
      </c>
      <c r="AP48" s="5">
        <f t="shared" si="18"/>
        <v>1.5068553435551593</v>
      </c>
      <c r="AQ48" s="5">
        <f t="shared" si="19"/>
        <v>1.4666174996070305</v>
      </c>
      <c r="AR48" s="5">
        <f t="shared" si="20"/>
        <v>5.5</v>
      </c>
      <c r="AS48" s="5">
        <f t="shared" si="21"/>
        <v>5.4261362159999997</v>
      </c>
    </row>
    <row r="49" spans="1:45" x14ac:dyDescent="0.25">
      <c r="A49" s="1">
        <v>45322.666666666664</v>
      </c>
      <c r="B49">
        <v>20240216</v>
      </c>
      <c r="C49">
        <v>4663.5</v>
      </c>
      <c r="D49">
        <v>4648.2287960000003</v>
      </c>
      <c r="E49" t="s">
        <v>42</v>
      </c>
      <c r="F49">
        <v>4425</v>
      </c>
      <c r="G49">
        <v>10</v>
      </c>
      <c r="H49" t="s">
        <v>41</v>
      </c>
      <c r="I49" s="3">
        <v>229.3</v>
      </c>
      <c r="J49" s="3">
        <v>231.3</v>
      </c>
      <c r="K49" s="3">
        <v>18.20182698</v>
      </c>
      <c r="L49" s="3">
        <v>0.64329366399999999</v>
      </c>
      <c r="M49" s="3">
        <v>230.29535970000001</v>
      </c>
      <c r="N49" s="3">
        <v>0.91193892499999996</v>
      </c>
      <c r="O49" s="3">
        <v>1.421287959</v>
      </c>
      <c r="P49" s="3">
        <v>6.1180299999999996E-4</v>
      </c>
      <c r="Q49" s="3">
        <v>-0.87465125700000002</v>
      </c>
      <c r="R49">
        <v>0</v>
      </c>
      <c r="S49" t="b">
        <v>1</v>
      </c>
      <c r="T49" s="1">
        <v>45322.666666666664</v>
      </c>
      <c r="U49" s="1">
        <v>45338.666666666664</v>
      </c>
      <c r="V49" s="3">
        <f t="shared" si="0"/>
        <v>4.3835616438356165E-2</v>
      </c>
      <c r="W49">
        <v>3.7900000000000003E-2</v>
      </c>
      <c r="X49" s="7">
        <v>1E-4</v>
      </c>
      <c r="Y49" s="5">
        <f t="shared" si="1"/>
        <v>5.2495960724888234E-2</v>
      </c>
      <c r="Z49" s="5">
        <f t="shared" si="2"/>
        <v>3.7900005E-2</v>
      </c>
      <c r="AA49" s="5">
        <f t="shared" si="3"/>
        <v>4.3835616438356165E-2</v>
      </c>
      <c r="AB49" s="5">
        <f t="shared" si="4"/>
        <v>2.0936956903608547E-5</v>
      </c>
      <c r="AC49" s="5">
        <f t="shared" si="5"/>
        <v>2586.6858806852606</v>
      </c>
      <c r="AD49" s="5">
        <f t="shared" si="6"/>
        <v>1</v>
      </c>
      <c r="AE49" s="5">
        <f t="shared" si="7"/>
        <v>0</v>
      </c>
      <c r="AF49" s="5">
        <f t="shared" si="8"/>
        <v>3.7899995000000006E-2</v>
      </c>
      <c r="AG49" s="5">
        <f t="shared" si="9"/>
        <v>2586.6858597483038</v>
      </c>
      <c r="AH49" s="5">
        <f t="shared" si="10"/>
        <v>1</v>
      </c>
      <c r="AI49" s="5">
        <f t="shared" si="11"/>
        <v>0</v>
      </c>
      <c r="AJ49" s="23">
        <f t="shared" si="12"/>
        <v>245.84545819285267</v>
      </c>
      <c r="AK49" s="20" t="str">
        <f t="shared" si="13"/>
        <v>Call</v>
      </c>
      <c r="AL49" s="20">
        <f t="shared" si="14"/>
        <v>245.84545819285267</v>
      </c>
      <c r="AM49" s="3">
        <f t="shared" si="15"/>
        <v>231.3</v>
      </c>
      <c r="AN49" s="5">
        <f t="shared" si="16"/>
        <v>230.29535970000001</v>
      </c>
      <c r="AO49" s="5">
        <f t="shared" si="17"/>
        <v>14.545458192852664</v>
      </c>
      <c r="AP49" s="5">
        <f t="shared" si="18"/>
        <v>2586.6858806852606</v>
      </c>
      <c r="AQ49" s="5">
        <f t="shared" si="19"/>
        <v>2586.6858597483038</v>
      </c>
      <c r="AR49" s="5">
        <f t="shared" si="20"/>
        <v>231.3</v>
      </c>
      <c r="AS49" s="5">
        <f t="shared" si="21"/>
        <v>230.29535970000001</v>
      </c>
    </row>
    <row r="50" spans="1:45" x14ac:dyDescent="0.25">
      <c r="A50" s="1">
        <v>45322.666666666664</v>
      </c>
      <c r="B50">
        <v>20240216</v>
      </c>
      <c r="C50">
        <v>4663.5</v>
      </c>
      <c r="D50">
        <v>4648.2287960000003</v>
      </c>
      <c r="E50" t="s">
        <v>40</v>
      </c>
      <c r="F50">
        <v>4425</v>
      </c>
      <c r="G50">
        <v>10</v>
      </c>
      <c r="H50" t="s">
        <v>41</v>
      </c>
      <c r="I50" s="3">
        <v>6.4</v>
      </c>
      <c r="J50" s="3">
        <v>6.7</v>
      </c>
      <c r="K50" s="3">
        <v>18.20182698</v>
      </c>
      <c r="L50" s="3">
        <v>0.64329366399999999</v>
      </c>
      <c r="M50" s="3">
        <v>6.5284766210000003</v>
      </c>
      <c r="N50" s="3">
        <v>-8.3234829999999996E-2</v>
      </c>
      <c r="O50" s="3">
        <v>1.421287959</v>
      </c>
      <c r="P50" s="3">
        <v>6.1180299999999996E-4</v>
      </c>
      <c r="Q50" s="3">
        <v>-0.87465125700000002</v>
      </c>
      <c r="R50">
        <v>0</v>
      </c>
      <c r="S50" t="b">
        <v>1</v>
      </c>
      <c r="T50" s="1">
        <v>45322.666666666664</v>
      </c>
      <c r="U50" s="1">
        <v>45338.666666666664</v>
      </c>
      <c r="V50" s="3">
        <f t="shared" si="0"/>
        <v>4.3835616438356165E-2</v>
      </c>
      <c r="W50">
        <v>3.7900000000000003E-2</v>
      </c>
      <c r="X50" s="7">
        <v>0.18659130271116742</v>
      </c>
      <c r="Y50" s="5">
        <f t="shared" si="1"/>
        <v>5.2495960724888234E-2</v>
      </c>
      <c r="Z50" s="5">
        <f t="shared" si="2"/>
        <v>5.5308157123725263E-2</v>
      </c>
      <c r="AA50" s="5">
        <f t="shared" si="3"/>
        <v>4.3835616438356165E-2</v>
      </c>
      <c r="AB50" s="5">
        <f t="shared" si="4"/>
        <v>3.9066540634518886E-2</v>
      </c>
      <c r="AC50" s="5">
        <f t="shared" si="5"/>
        <v>1.4058175357853144</v>
      </c>
      <c r="AD50" s="5">
        <f t="shared" si="6"/>
        <v>0.92011084324830672</v>
      </c>
      <c r="AE50" s="5">
        <f t="shared" si="7"/>
        <v>7.9889156751693308E-2</v>
      </c>
      <c r="AF50" s="5">
        <f t="shared" si="8"/>
        <v>2.0491842876274747E-2</v>
      </c>
      <c r="AG50" s="5">
        <f t="shared" si="9"/>
        <v>1.3667509951507955</v>
      </c>
      <c r="AH50" s="5">
        <f t="shared" si="10"/>
        <v>0.91414831611516745</v>
      </c>
      <c r="AI50" s="5">
        <f t="shared" si="11"/>
        <v>8.5851683884832566E-2</v>
      </c>
      <c r="AJ50" s="23" t="str">
        <f t="shared" si="12"/>
        <v>Put</v>
      </c>
      <c r="AK50" s="20">
        <f t="shared" si="13"/>
        <v>6.6999987241003396</v>
      </c>
      <c r="AL50" s="20">
        <f t="shared" si="14"/>
        <v>6.6999987241003396</v>
      </c>
      <c r="AM50" s="3">
        <f t="shared" si="15"/>
        <v>6.7</v>
      </c>
      <c r="AN50" s="5">
        <f t="shared" si="16"/>
        <v>6.5284766210000003</v>
      </c>
      <c r="AO50" s="5">
        <f t="shared" si="17"/>
        <v>-1.2758996605910511E-6</v>
      </c>
      <c r="AP50" s="5">
        <f t="shared" si="18"/>
        <v>1.4058175357853144</v>
      </c>
      <c r="AQ50" s="5">
        <f t="shared" si="19"/>
        <v>1.3667509951507955</v>
      </c>
      <c r="AR50" s="5">
        <f t="shared" si="20"/>
        <v>6.7</v>
      </c>
      <c r="AS50" s="5">
        <f t="shared" si="21"/>
        <v>6.5284766210000003</v>
      </c>
    </row>
    <row r="51" spans="1:45" x14ac:dyDescent="0.25">
      <c r="A51" s="1">
        <v>45322.666666666664</v>
      </c>
      <c r="B51">
        <v>20240216</v>
      </c>
      <c r="C51">
        <v>4663.5</v>
      </c>
      <c r="D51">
        <v>4648.2287960000003</v>
      </c>
      <c r="E51" t="s">
        <v>42</v>
      </c>
      <c r="F51">
        <v>4450</v>
      </c>
      <c r="G51">
        <v>10</v>
      </c>
      <c r="H51" t="s">
        <v>41</v>
      </c>
      <c r="I51" s="3">
        <v>205.9</v>
      </c>
      <c r="J51" s="3">
        <v>207.8</v>
      </c>
      <c r="K51" s="3">
        <v>17.51763652</v>
      </c>
      <c r="L51" s="3">
        <v>0.64329366399999999</v>
      </c>
      <c r="M51" s="3">
        <v>206.74750929999999</v>
      </c>
      <c r="N51" s="3">
        <v>0.89399724300000005</v>
      </c>
      <c r="O51" s="3">
        <v>1.642175867</v>
      </c>
      <c r="P51" s="3">
        <v>7.7161899999999997E-4</v>
      </c>
      <c r="Q51" s="3">
        <v>-1.0217564139999999</v>
      </c>
      <c r="R51">
        <v>0</v>
      </c>
      <c r="S51" t="b">
        <v>1</v>
      </c>
      <c r="T51" s="1">
        <v>45322.666666666664</v>
      </c>
      <c r="U51" s="1">
        <v>45338.666666666664</v>
      </c>
      <c r="V51" s="3">
        <f t="shared" si="0"/>
        <v>4.3835616438356165E-2</v>
      </c>
      <c r="W51">
        <v>3.7900000000000003E-2</v>
      </c>
      <c r="X51" s="7">
        <v>1E-4</v>
      </c>
      <c r="Y51" s="5">
        <f t="shared" si="1"/>
        <v>4.6862143006632197E-2</v>
      </c>
      <c r="Z51" s="5">
        <f t="shared" si="2"/>
        <v>3.7900005E-2</v>
      </c>
      <c r="AA51" s="5">
        <f t="shared" si="3"/>
        <v>4.3835616438356165E-2</v>
      </c>
      <c r="AB51" s="5">
        <f t="shared" si="4"/>
        <v>2.0936956903608547E-5</v>
      </c>
      <c r="AC51" s="5">
        <f t="shared" si="5"/>
        <v>2317.6010397413966</v>
      </c>
      <c r="AD51" s="5">
        <f t="shared" si="6"/>
        <v>1</v>
      </c>
      <c r="AE51" s="5">
        <f t="shared" si="7"/>
        <v>0</v>
      </c>
      <c r="AF51" s="5">
        <f t="shared" si="8"/>
        <v>3.7899995000000006E-2</v>
      </c>
      <c r="AG51" s="5">
        <f t="shared" si="9"/>
        <v>2317.6010188044397</v>
      </c>
      <c r="AH51" s="5">
        <f t="shared" si="10"/>
        <v>1</v>
      </c>
      <c r="AI51" s="5">
        <f t="shared" si="11"/>
        <v>0</v>
      </c>
      <c r="AJ51" s="23">
        <f t="shared" si="12"/>
        <v>220.88695795665444</v>
      </c>
      <c r="AK51" s="20" t="str">
        <f t="shared" si="13"/>
        <v>Call</v>
      </c>
      <c r="AL51" s="20">
        <f t="shared" si="14"/>
        <v>220.88695795665444</v>
      </c>
      <c r="AM51" s="3">
        <f t="shared" si="15"/>
        <v>207.8</v>
      </c>
      <c r="AN51" s="5">
        <f t="shared" si="16"/>
        <v>206.74750929999999</v>
      </c>
      <c r="AO51" s="5">
        <f t="shared" si="17"/>
        <v>13.08695795665443</v>
      </c>
      <c r="AP51" s="5">
        <f t="shared" si="18"/>
        <v>2317.6010397413966</v>
      </c>
      <c r="AQ51" s="5">
        <f t="shared" si="19"/>
        <v>2317.6010188044397</v>
      </c>
      <c r="AR51" s="5">
        <f t="shared" si="20"/>
        <v>207.8</v>
      </c>
      <c r="AS51" s="5">
        <f t="shared" si="21"/>
        <v>206.74750929999999</v>
      </c>
    </row>
    <row r="52" spans="1:45" x14ac:dyDescent="0.25">
      <c r="A52" s="1">
        <v>45322.666666666664</v>
      </c>
      <c r="B52">
        <v>20240216</v>
      </c>
      <c r="C52">
        <v>4663.5</v>
      </c>
      <c r="D52">
        <v>4648.2287960000003</v>
      </c>
      <c r="E52" t="s">
        <v>40</v>
      </c>
      <c r="F52">
        <v>4450</v>
      </c>
      <c r="G52">
        <v>10</v>
      </c>
      <c r="H52" t="s">
        <v>41</v>
      </c>
      <c r="I52" s="3">
        <v>7.8</v>
      </c>
      <c r="J52" s="3">
        <v>8.1</v>
      </c>
      <c r="K52" s="3">
        <v>17.51763652</v>
      </c>
      <c r="L52" s="3">
        <v>0.64329366399999999</v>
      </c>
      <c r="M52" s="3">
        <v>7.9367048880000004</v>
      </c>
      <c r="N52" s="3">
        <v>-0.101176511</v>
      </c>
      <c r="O52" s="3">
        <v>1.642175867</v>
      </c>
      <c r="P52" s="3">
        <v>7.7161899999999997E-4</v>
      </c>
      <c r="Q52" s="3">
        <v>-1.0217564139999999</v>
      </c>
      <c r="R52">
        <v>0</v>
      </c>
      <c r="S52" t="b">
        <v>1</v>
      </c>
      <c r="T52" s="1">
        <v>45322.666666666664</v>
      </c>
      <c r="U52" s="1">
        <v>45338.666666666664</v>
      </c>
      <c r="V52" s="3">
        <f t="shared" si="0"/>
        <v>4.3835616438356165E-2</v>
      </c>
      <c r="W52">
        <v>3.7900000000000003E-2</v>
      </c>
      <c r="X52" s="7">
        <v>0.18049464586535813</v>
      </c>
      <c r="Y52" s="5">
        <f t="shared" si="1"/>
        <v>4.6862143006632197E-2</v>
      </c>
      <c r="Z52" s="5">
        <f t="shared" si="2"/>
        <v>5.4189158593030529E-2</v>
      </c>
      <c r="AA52" s="5">
        <f t="shared" si="3"/>
        <v>4.3835616438356165E-2</v>
      </c>
      <c r="AB52" s="5">
        <f t="shared" si="4"/>
        <v>3.7790086218150901E-2</v>
      </c>
      <c r="AC52" s="5">
        <f t="shared" si="5"/>
        <v>1.3029226208588092</v>
      </c>
      <c r="AD52" s="5">
        <f t="shared" si="6"/>
        <v>0.90369940987108854</v>
      </c>
      <c r="AE52" s="5">
        <f t="shared" si="7"/>
        <v>9.6300590128911442E-2</v>
      </c>
      <c r="AF52" s="5">
        <f t="shared" si="8"/>
        <v>2.1610841406969481E-2</v>
      </c>
      <c r="AG52" s="5">
        <f t="shared" si="9"/>
        <v>1.2651325346406583</v>
      </c>
      <c r="AH52" s="5">
        <f t="shared" si="10"/>
        <v>0.89708808907368265</v>
      </c>
      <c r="AI52" s="5">
        <f t="shared" si="11"/>
        <v>0.10291191092631738</v>
      </c>
      <c r="AJ52" s="23" t="str">
        <f t="shared" si="12"/>
        <v>Put</v>
      </c>
      <c r="AK52" s="20">
        <f t="shared" si="13"/>
        <v>8.0999955966821062</v>
      </c>
      <c r="AL52" s="20">
        <f t="shared" si="14"/>
        <v>8.0999955966821062</v>
      </c>
      <c r="AM52" s="3">
        <f t="shared" si="15"/>
        <v>8.1</v>
      </c>
      <c r="AN52" s="5">
        <f t="shared" si="16"/>
        <v>7.9367048880000004</v>
      </c>
      <c r="AO52" s="5">
        <f t="shared" si="17"/>
        <v>-4.4033178934199668E-6</v>
      </c>
      <c r="AP52" s="5">
        <f t="shared" si="18"/>
        <v>1.3029226208588092</v>
      </c>
      <c r="AQ52" s="5">
        <f t="shared" si="19"/>
        <v>1.2651325346406583</v>
      </c>
      <c r="AR52" s="5">
        <f t="shared" si="20"/>
        <v>8.1</v>
      </c>
      <c r="AS52" s="5">
        <f t="shared" si="21"/>
        <v>7.9367048880000004</v>
      </c>
    </row>
    <row r="53" spans="1:45" x14ac:dyDescent="0.25">
      <c r="A53" s="1">
        <v>45322.666666666664</v>
      </c>
      <c r="B53">
        <v>20240216</v>
      </c>
      <c r="C53">
        <v>4663.5</v>
      </c>
      <c r="D53">
        <v>4648.2287960000003</v>
      </c>
      <c r="E53" t="s">
        <v>42</v>
      </c>
      <c r="F53">
        <v>4475</v>
      </c>
      <c r="G53">
        <v>10</v>
      </c>
      <c r="H53" t="s">
        <v>41</v>
      </c>
      <c r="I53" s="3">
        <v>182.7</v>
      </c>
      <c r="J53" s="3">
        <v>184.7</v>
      </c>
      <c r="K53" s="3">
        <v>16.8550282</v>
      </c>
      <c r="L53" s="3">
        <v>0.64329366399999999</v>
      </c>
      <c r="M53" s="3">
        <v>183.5968507</v>
      </c>
      <c r="N53" s="3">
        <v>0.87150695499999997</v>
      </c>
      <c r="O53" s="3">
        <v>1.89531965</v>
      </c>
      <c r="P53" s="3">
        <v>9.7082899999999998E-4</v>
      </c>
      <c r="Q53" s="3">
        <v>-1.190131649</v>
      </c>
      <c r="R53">
        <v>0</v>
      </c>
      <c r="S53" t="b">
        <v>1</v>
      </c>
      <c r="T53" s="1">
        <v>45322.666666666664</v>
      </c>
      <c r="U53" s="1">
        <v>45338.666666666664</v>
      </c>
      <c r="V53" s="3">
        <f t="shared" si="0"/>
        <v>4.3835616438356165E-2</v>
      </c>
      <c r="W53">
        <v>3.7900000000000003E-2</v>
      </c>
      <c r="X53" s="7">
        <v>1E-4</v>
      </c>
      <c r="Y53" s="5">
        <f t="shared" si="1"/>
        <v>4.1259887457962517E-2</v>
      </c>
      <c r="Z53" s="5">
        <f t="shared" si="2"/>
        <v>3.7900005E-2</v>
      </c>
      <c r="AA53" s="5">
        <f t="shared" si="3"/>
        <v>4.3835616438356165E-2</v>
      </c>
      <c r="AB53" s="5">
        <f t="shared" si="4"/>
        <v>2.0936956903608547E-5</v>
      </c>
      <c r="AC53" s="5">
        <f t="shared" si="5"/>
        <v>2050.023684805727</v>
      </c>
      <c r="AD53" s="5">
        <f t="shared" si="6"/>
        <v>1</v>
      </c>
      <c r="AE53" s="5">
        <f t="shared" si="7"/>
        <v>0</v>
      </c>
      <c r="AF53" s="5">
        <f t="shared" si="8"/>
        <v>3.7899995000000006E-2</v>
      </c>
      <c r="AG53" s="5">
        <f t="shared" si="9"/>
        <v>2050.0236638687702</v>
      </c>
      <c r="AH53" s="5">
        <f t="shared" si="10"/>
        <v>1</v>
      </c>
      <c r="AI53" s="5">
        <f t="shared" si="11"/>
        <v>0</v>
      </c>
      <c r="AJ53" s="23">
        <f t="shared" si="12"/>
        <v>195.9284577204553</v>
      </c>
      <c r="AK53" s="20" t="str">
        <f t="shared" si="13"/>
        <v>Call</v>
      </c>
      <c r="AL53" s="20">
        <f t="shared" si="14"/>
        <v>195.9284577204553</v>
      </c>
      <c r="AM53" s="3">
        <f t="shared" si="15"/>
        <v>184.7</v>
      </c>
      <c r="AN53" s="5">
        <f t="shared" si="16"/>
        <v>183.5968507</v>
      </c>
      <c r="AO53" s="5">
        <f t="shared" si="17"/>
        <v>11.22845772045531</v>
      </c>
      <c r="AP53" s="5">
        <f t="shared" si="18"/>
        <v>2050.023684805727</v>
      </c>
      <c r="AQ53" s="5">
        <f t="shared" si="19"/>
        <v>2050.0236638687702</v>
      </c>
      <c r="AR53" s="5">
        <f t="shared" si="20"/>
        <v>184.7</v>
      </c>
      <c r="AS53" s="5">
        <f t="shared" si="21"/>
        <v>183.5968507</v>
      </c>
    </row>
    <row r="54" spans="1:45" x14ac:dyDescent="0.25">
      <c r="A54" s="1">
        <v>45322.666666666664</v>
      </c>
      <c r="B54">
        <v>20240216</v>
      </c>
      <c r="C54">
        <v>4663.5</v>
      </c>
      <c r="D54">
        <v>4648.2287960000003</v>
      </c>
      <c r="E54" t="s">
        <v>40</v>
      </c>
      <c r="F54">
        <v>4475</v>
      </c>
      <c r="G54">
        <v>10</v>
      </c>
      <c r="H54" t="s">
        <v>41</v>
      </c>
      <c r="I54" s="3">
        <v>9.6</v>
      </c>
      <c r="J54" s="3">
        <v>9.9</v>
      </c>
      <c r="K54" s="3">
        <v>16.8550282</v>
      </c>
      <c r="L54" s="3">
        <v>0.64329366399999999</v>
      </c>
      <c r="M54" s="3">
        <v>9.742124939</v>
      </c>
      <c r="N54" s="3">
        <v>-0.12366679999999999</v>
      </c>
      <c r="O54" s="3">
        <v>1.89531965</v>
      </c>
      <c r="P54" s="3">
        <v>9.7082899999999998E-4</v>
      </c>
      <c r="Q54" s="3">
        <v>-1.190131649</v>
      </c>
      <c r="R54">
        <v>0</v>
      </c>
      <c r="S54" t="b">
        <v>1</v>
      </c>
      <c r="T54" s="1">
        <v>45322.666666666664</v>
      </c>
      <c r="U54" s="1">
        <v>45338.666666666664</v>
      </c>
      <c r="V54" s="3">
        <f t="shared" si="0"/>
        <v>4.3835616438356165E-2</v>
      </c>
      <c r="W54">
        <v>3.7900000000000003E-2</v>
      </c>
      <c r="X54" s="7">
        <v>0.17476790347552115</v>
      </c>
      <c r="Y54" s="5">
        <f t="shared" si="1"/>
        <v>4.1259887457962517E-2</v>
      </c>
      <c r="Z54" s="5">
        <f t="shared" si="2"/>
        <v>5.317191004261454E-2</v>
      </c>
      <c r="AA54" s="5">
        <f t="shared" si="3"/>
        <v>4.3835616438356165E-2</v>
      </c>
      <c r="AB54" s="5">
        <f t="shared" si="4"/>
        <v>3.6591080632010047E-2</v>
      </c>
      <c r="AC54" s="5">
        <f t="shared" si="5"/>
        <v>1.1912933468751397</v>
      </c>
      <c r="AD54" s="5">
        <f t="shared" si="6"/>
        <v>0.88323077758582469</v>
      </c>
      <c r="AE54" s="5">
        <f t="shared" si="7"/>
        <v>0.11676922241417535</v>
      </c>
      <c r="AF54" s="5">
        <f t="shared" si="8"/>
        <v>2.2628089957385463E-2</v>
      </c>
      <c r="AG54" s="5">
        <f t="shared" si="9"/>
        <v>1.1547022662431297</v>
      </c>
      <c r="AH54" s="5">
        <f t="shared" si="10"/>
        <v>0.87589381441232417</v>
      </c>
      <c r="AI54" s="5">
        <f t="shared" si="11"/>
        <v>0.12410618558767586</v>
      </c>
      <c r="AJ54" s="23" t="str">
        <f t="shared" si="12"/>
        <v>Put</v>
      </c>
      <c r="AK54" s="20">
        <f t="shared" si="13"/>
        <v>9.899994223857675</v>
      </c>
      <c r="AL54" s="20">
        <f t="shared" si="14"/>
        <v>9.899994223857675</v>
      </c>
      <c r="AM54" s="3">
        <f t="shared" si="15"/>
        <v>9.9</v>
      </c>
      <c r="AN54" s="5">
        <f t="shared" si="16"/>
        <v>9.742124939</v>
      </c>
      <c r="AO54" s="5">
        <f t="shared" si="17"/>
        <v>-5.7761423253310795E-6</v>
      </c>
      <c r="AP54" s="5">
        <f t="shared" si="18"/>
        <v>1.1912933468751397</v>
      </c>
      <c r="AQ54" s="5">
        <f t="shared" si="19"/>
        <v>1.1547022662431297</v>
      </c>
      <c r="AR54" s="5">
        <f t="shared" si="20"/>
        <v>9.9</v>
      </c>
      <c r="AS54" s="5">
        <f t="shared" si="21"/>
        <v>9.742124939</v>
      </c>
    </row>
    <row r="55" spans="1:45" x14ac:dyDescent="0.25">
      <c r="A55" s="1">
        <v>45322.666666666664</v>
      </c>
      <c r="B55">
        <v>20240216</v>
      </c>
      <c r="C55">
        <v>4663.5</v>
      </c>
      <c r="D55">
        <v>4648.2287960000003</v>
      </c>
      <c r="E55" t="s">
        <v>42</v>
      </c>
      <c r="F55">
        <v>4500</v>
      </c>
      <c r="G55">
        <v>10</v>
      </c>
      <c r="H55" t="s">
        <v>41</v>
      </c>
      <c r="I55" s="3">
        <v>160.19999999999999</v>
      </c>
      <c r="J55" s="3">
        <v>162</v>
      </c>
      <c r="K55" s="3">
        <v>16.213662970000001</v>
      </c>
      <c r="L55" s="3">
        <v>0.64329366399999999</v>
      </c>
      <c r="M55" s="3">
        <v>160.96079080000001</v>
      </c>
      <c r="N55" s="3">
        <v>0.84341110200000002</v>
      </c>
      <c r="O55" s="3">
        <v>2.1793897900000001</v>
      </c>
      <c r="P55" s="3">
        <v>1.2153310000000001E-3</v>
      </c>
      <c r="Q55" s="3">
        <v>-1.3786376979999999</v>
      </c>
      <c r="R55">
        <v>0</v>
      </c>
      <c r="S55" t="b">
        <v>1</v>
      </c>
      <c r="T55" s="1">
        <v>45322.666666666664</v>
      </c>
      <c r="U55" s="1">
        <v>45338.666666666664</v>
      </c>
      <c r="V55" s="3">
        <f t="shared" si="0"/>
        <v>4.3835616438356165E-2</v>
      </c>
      <c r="W55">
        <v>3.7900000000000003E-2</v>
      </c>
      <c r="X55" s="7">
        <v>1E-4</v>
      </c>
      <c r="Y55" s="5">
        <f t="shared" si="1"/>
        <v>3.5688842408507067E-2</v>
      </c>
      <c r="Z55" s="5">
        <f t="shared" si="2"/>
        <v>3.7900005E-2</v>
      </c>
      <c r="AA55" s="5">
        <f t="shared" si="3"/>
        <v>4.3835616438356165E-2</v>
      </c>
      <c r="AB55" s="5">
        <f t="shared" si="4"/>
        <v>2.0936956903608547E-5</v>
      </c>
      <c r="AC55" s="5">
        <f t="shared" si="5"/>
        <v>1783.9370192456875</v>
      </c>
      <c r="AD55" s="5">
        <f t="shared" si="6"/>
        <v>1</v>
      </c>
      <c r="AE55" s="5">
        <f t="shared" si="7"/>
        <v>0</v>
      </c>
      <c r="AF55" s="5">
        <f t="shared" si="8"/>
        <v>3.7899995000000006E-2</v>
      </c>
      <c r="AG55" s="5">
        <f t="shared" si="9"/>
        <v>1783.9369983087306</v>
      </c>
      <c r="AH55" s="5">
        <f t="shared" si="10"/>
        <v>1</v>
      </c>
      <c r="AI55" s="5">
        <f t="shared" si="11"/>
        <v>0</v>
      </c>
      <c r="AJ55" s="23">
        <f t="shared" si="12"/>
        <v>170.96995748425707</v>
      </c>
      <c r="AK55" s="20" t="str">
        <f t="shared" si="13"/>
        <v>Call</v>
      </c>
      <c r="AL55" s="20">
        <f t="shared" si="14"/>
        <v>170.96995748425707</v>
      </c>
      <c r="AM55" s="3">
        <f t="shared" si="15"/>
        <v>162</v>
      </c>
      <c r="AN55" s="5">
        <f t="shared" si="16"/>
        <v>160.96079080000001</v>
      </c>
      <c r="AO55" s="5">
        <f t="shared" si="17"/>
        <v>8.9699574842570655</v>
      </c>
      <c r="AP55" s="5">
        <f t="shared" si="18"/>
        <v>1783.9370192456875</v>
      </c>
      <c r="AQ55" s="5">
        <f t="shared" si="19"/>
        <v>1783.9369983087306</v>
      </c>
      <c r="AR55" s="5">
        <f t="shared" si="20"/>
        <v>162</v>
      </c>
      <c r="AS55" s="5">
        <f t="shared" si="21"/>
        <v>160.96079080000001</v>
      </c>
    </row>
    <row r="56" spans="1:45" x14ac:dyDescent="0.25">
      <c r="A56" s="1">
        <v>45322.666666666664</v>
      </c>
      <c r="B56">
        <v>20240216</v>
      </c>
      <c r="C56">
        <v>4663.5</v>
      </c>
      <c r="D56">
        <v>4648.2287960000003</v>
      </c>
      <c r="E56" t="s">
        <v>40</v>
      </c>
      <c r="F56">
        <v>4500</v>
      </c>
      <c r="G56">
        <v>10</v>
      </c>
      <c r="H56" t="s">
        <v>41</v>
      </c>
      <c r="I56" s="3">
        <v>11.9</v>
      </c>
      <c r="J56" s="3">
        <v>12.3</v>
      </c>
      <c r="K56" s="3">
        <v>16.213662970000001</v>
      </c>
      <c r="L56" s="3">
        <v>0.64329366399999999</v>
      </c>
      <c r="M56" s="3">
        <v>12.06214363</v>
      </c>
      <c r="N56" s="3">
        <v>-0.151762653</v>
      </c>
      <c r="O56" s="3">
        <v>2.1793897900000001</v>
      </c>
      <c r="P56" s="3">
        <v>1.2153310000000001E-3</v>
      </c>
      <c r="Q56" s="3">
        <v>-1.3786376979999999</v>
      </c>
      <c r="R56">
        <v>0</v>
      </c>
      <c r="S56" t="b">
        <v>1</v>
      </c>
      <c r="T56" s="1">
        <v>45322.666666666664</v>
      </c>
      <c r="U56" s="1">
        <v>45338.666666666664</v>
      </c>
      <c r="V56" s="3">
        <f t="shared" si="0"/>
        <v>4.3835616438356165E-2</v>
      </c>
      <c r="W56">
        <v>3.7900000000000003E-2</v>
      </c>
      <c r="X56" s="7">
        <v>0.16980378151142275</v>
      </c>
      <c r="Y56" s="5">
        <f t="shared" si="1"/>
        <v>3.5688842408507067E-2</v>
      </c>
      <c r="Z56" s="5">
        <f t="shared" si="2"/>
        <v>5.2316662107789499E-2</v>
      </c>
      <c r="AA56" s="5">
        <f t="shared" si="3"/>
        <v>4.3835616438356165E-2</v>
      </c>
      <c r="AB56" s="5">
        <f t="shared" si="4"/>
        <v>3.5551744555744197E-2</v>
      </c>
      <c r="AC56" s="5">
        <f t="shared" si="5"/>
        <v>1.0683631989548126</v>
      </c>
      <c r="AD56" s="5">
        <f t="shared" si="6"/>
        <v>0.85732164469835992</v>
      </c>
      <c r="AE56" s="5">
        <f t="shared" si="7"/>
        <v>0.14267835530164005</v>
      </c>
      <c r="AF56" s="5">
        <f t="shared" si="8"/>
        <v>2.3483337892210507E-2</v>
      </c>
      <c r="AG56" s="5">
        <f t="shared" si="9"/>
        <v>1.0328114543990683</v>
      </c>
      <c r="AH56" s="5">
        <f t="shared" si="10"/>
        <v>0.84915392886004626</v>
      </c>
      <c r="AI56" s="5">
        <f t="shared" si="11"/>
        <v>0.15084607113995369</v>
      </c>
      <c r="AJ56" s="23" t="str">
        <f t="shared" si="12"/>
        <v>Put</v>
      </c>
      <c r="AK56" s="20">
        <f t="shared" si="13"/>
        <v>12.299996442510519</v>
      </c>
      <c r="AL56" s="20">
        <f t="shared" si="14"/>
        <v>12.299996442510519</v>
      </c>
      <c r="AM56" s="3">
        <f t="shared" si="15"/>
        <v>12.3</v>
      </c>
      <c r="AN56" s="5">
        <f t="shared" si="16"/>
        <v>12.06214363</v>
      </c>
      <c r="AO56" s="5">
        <f t="shared" si="17"/>
        <v>-3.5574894816647884E-6</v>
      </c>
      <c r="AP56" s="5">
        <f t="shared" si="18"/>
        <v>1.0683631989548126</v>
      </c>
      <c r="AQ56" s="5">
        <f t="shared" si="19"/>
        <v>1.0328114543990683</v>
      </c>
      <c r="AR56" s="5">
        <f t="shared" si="20"/>
        <v>12.3</v>
      </c>
      <c r="AS56" s="5">
        <f t="shared" si="21"/>
        <v>12.06214363</v>
      </c>
    </row>
    <row r="57" spans="1:45" x14ac:dyDescent="0.25">
      <c r="A57" s="1">
        <v>45322.666666666664</v>
      </c>
      <c r="B57">
        <v>20240216</v>
      </c>
      <c r="C57">
        <v>4663.5</v>
      </c>
      <c r="D57">
        <v>4648.2287960000003</v>
      </c>
      <c r="E57" t="s">
        <v>42</v>
      </c>
      <c r="F57">
        <v>4525</v>
      </c>
      <c r="G57">
        <v>10</v>
      </c>
      <c r="H57" t="s">
        <v>41</v>
      </c>
      <c r="I57" s="3">
        <v>138.19999999999999</v>
      </c>
      <c r="J57" s="3">
        <v>140</v>
      </c>
      <c r="K57" s="3">
        <v>15.593208450000001</v>
      </c>
      <c r="L57" s="3">
        <v>0.64329366399999999</v>
      </c>
      <c r="M57" s="3">
        <v>138.98813490000001</v>
      </c>
      <c r="N57" s="3">
        <v>0.80853257300000003</v>
      </c>
      <c r="O57" s="3">
        <v>2.4887760120000002</v>
      </c>
      <c r="P57" s="3">
        <v>1.5120820000000001E-3</v>
      </c>
      <c r="Q57" s="3">
        <v>-1.5864986670000001</v>
      </c>
      <c r="R57">
        <v>0</v>
      </c>
      <c r="S57" t="b">
        <v>1</v>
      </c>
      <c r="T57" s="1">
        <v>45322.666666666664</v>
      </c>
      <c r="U57" s="1">
        <v>45338.666666666664</v>
      </c>
      <c r="V57" s="3">
        <f t="shared" si="0"/>
        <v>4.3835616438356165E-2</v>
      </c>
      <c r="W57">
        <v>3.7900000000000003E-2</v>
      </c>
      <c r="X57" s="7">
        <v>1E-4</v>
      </c>
      <c r="Y57" s="5">
        <f t="shared" si="1"/>
        <v>3.0148662032891679E-2</v>
      </c>
      <c r="Z57" s="5">
        <f t="shared" si="2"/>
        <v>3.7900005E-2</v>
      </c>
      <c r="AA57" s="5">
        <f t="shared" si="3"/>
        <v>4.3835616438356165E-2</v>
      </c>
      <c r="AB57" s="5">
        <f t="shared" si="4"/>
        <v>2.0936956903608547E-5</v>
      </c>
      <c r="AC57" s="5">
        <f t="shared" si="5"/>
        <v>1519.3245256000362</v>
      </c>
      <c r="AD57" s="5">
        <f t="shared" si="6"/>
        <v>1</v>
      </c>
      <c r="AE57" s="5">
        <f t="shared" si="7"/>
        <v>0</v>
      </c>
      <c r="AF57" s="5">
        <f t="shared" si="8"/>
        <v>3.7899995000000006E-2</v>
      </c>
      <c r="AG57" s="5">
        <f t="shared" si="9"/>
        <v>1519.3245046630793</v>
      </c>
      <c r="AH57" s="5">
        <f t="shared" si="10"/>
        <v>1</v>
      </c>
      <c r="AI57" s="5">
        <f t="shared" si="11"/>
        <v>0</v>
      </c>
      <c r="AJ57" s="23">
        <f t="shared" si="12"/>
        <v>146.01145724805883</v>
      </c>
      <c r="AK57" s="20" t="str">
        <f t="shared" si="13"/>
        <v>Call</v>
      </c>
      <c r="AL57" s="20">
        <f t="shared" si="14"/>
        <v>146.01145724805883</v>
      </c>
      <c r="AM57" s="3">
        <f t="shared" si="15"/>
        <v>140</v>
      </c>
      <c r="AN57" s="5">
        <f t="shared" si="16"/>
        <v>138.98813490000001</v>
      </c>
      <c r="AO57" s="5">
        <f t="shared" si="17"/>
        <v>6.0114572480588322</v>
      </c>
      <c r="AP57" s="5">
        <f t="shared" si="18"/>
        <v>1519.3245256000362</v>
      </c>
      <c r="AQ57" s="5">
        <f t="shared" si="19"/>
        <v>1519.3245046630793</v>
      </c>
      <c r="AR57" s="5">
        <f t="shared" si="20"/>
        <v>140</v>
      </c>
      <c r="AS57" s="5">
        <f t="shared" si="21"/>
        <v>138.98813490000001</v>
      </c>
    </row>
    <row r="58" spans="1:45" x14ac:dyDescent="0.25">
      <c r="A58" s="1">
        <v>45322.666666666664</v>
      </c>
      <c r="B58">
        <v>20240216</v>
      </c>
      <c r="C58">
        <v>4663.5</v>
      </c>
      <c r="D58">
        <v>4648.2287960000003</v>
      </c>
      <c r="E58" t="s">
        <v>40</v>
      </c>
      <c r="F58">
        <v>4525</v>
      </c>
      <c r="G58">
        <v>10</v>
      </c>
      <c r="H58" t="s">
        <v>41</v>
      </c>
      <c r="I58" s="3">
        <v>14.9</v>
      </c>
      <c r="J58" s="3">
        <v>15.3</v>
      </c>
      <c r="K58" s="3">
        <v>15.593208450000001</v>
      </c>
      <c r="L58" s="3">
        <v>0.64329366399999999</v>
      </c>
      <c r="M58" s="3">
        <v>15.0455664</v>
      </c>
      <c r="N58" s="3">
        <v>-0.18664118199999999</v>
      </c>
      <c r="O58" s="3">
        <v>2.4887760120000002</v>
      </c>
      <c r="P58" s="3">
        <v>1.5120820000000001E-3</v>
      </c>
      <c r="Q58" s="3">
        <v>-1.5864986670000001</v>
      </c>
      <c r="R58">
        <v>0</v>
      </c>
      <c r="S58" t="b">
        <v>1</v>
      </c>
      <c r="T58" s="1">
        <v>45322.666666666664</v>
      </c>
      <c r="U58" s="1">
        <v>45338.666666666664</v>
      </c>
      <c r="V58" s="3">
        <f t="shared" si="0"/>
        <v>4.3835616438356165E-2</v>
      </c>
      <c r="W58">
        <v>3.7900000000000003E-2</v>
      </c>
      <c r="X58" s="7">
        <v>0.16489953218370507</v>
      </c>
      <c r="Y58" s="5">
        <f t="shared" si="1"/>
        <v>3.0148662032891679E-2</v>
      </c>
      <c r="Z58" s="5">
        <f t="shared" si="2"/>
        <v>5.1495927857202396E-2</v>
      </c>
      <c r="AA58" s="5">
        <f t="shared" si="3"/>
        <v>4.3835616438356165E-2</v>
      </c>
      <c r="AB58" s="5">
        <f t="shared" si="4"/>
        <v>3.4524943987554436E-2</v>
      </c>
      <c r="AC58" s="5">
        <f t="shared" si="5"/>
        <v>0.93862622300731313</v>
      </c>
      <c r="AD58" s="5">
        <f t="shared" si="6"/>
        <v>0.82603865781722874</v>
      </c>
      <c r="AE58" s="5">
        <f t="shared" si="7"/>
        <v>0.17396134218277132</v>
      </c>
      <c r="AF58" s="5">
        <f t="shared" si="8"/>
        <v>2.430407214279761E-2</v>
      </c>
      <c r="AG58" s="5">
        <f t="shared" si="9"/>
        <v>0.90410127901975856</v>
      </c>
      <c r="AH58" s="5">
        <f t="shared" si="10"/>
        <v>0.81702914987314268</v>
      </c>
      <c r="AI58" s="5">
        <f t="shared" si="11"/>
        <v>0.18297085012685735</v>
      </c>
      <c r="AJ58" s="23" t="str">
        <f t="shared" si="12"/>
        <v>Put</v>
      </c>
      <c r="AK58" s="20">
        <f t="shared" si="13"/>
        <v>15.299999836306597</v>
      </c>
      <c r="AL58" s="20">
        <f t="shared" si="14"/>
        <v>15.299999836306597</v>
      </c>
      <c r="AM58" s="3">
        <f t="shared" si="15"/>
        <v>15.3</v>
      </c>
      <c r="AN58" s="5">
        <f t="shared" si="16"/>
        <v>15.0455664</v>
      </c>
      <c r="AO58" s="5">
        <f t="shared" si="17"/>
        <v>-1.6369340372079932E-7</v>
      </c>
      <c r="AP58" s="5">
        <f t="shared" si="18"/>
        <v>0.93862622300731313</v>
      </c>
      <c r="AQ58" s="5">
        <f t="shared" si="19"/>
        <v>0.90410127901975856</v>
      </c>
      <c r="AR58" s="5">
        <f t="shared" si="20"/>
        <v>15.3</v>
      </c>
      <c r="AS58" s="5">
        <f t="shared" si="21"/>
        <v>15.0455664</v>
      </c>
    </row>
    <row r="59" spans="1:45" x14ac:dyDescent="0.25">
      <c r="A59" s="1">
        <v>45322.666666666664</v>
      </c>
      <c r="B59">
        <v>20240216</v>
      </c>
      <c r="C59">
        <v>4663.5</v>
      </c>
      <c r="D59">
        <v>4648.2287960000003</v>
      </c>
      <c r="E59" t="s">
        <v>42</v>
      </c>
      <c r="F59">
        <v>4550</v>
      </c>
      <c r="G59">
        <v>10</v>
      </c>
      <c r="H59" t="s">
        <v>41</v>
      </c>
      <c r="I59" s="3">
        <v>117.2</v>
      </c>
      <c r="J59" s="3">
        <v>118.9</v>
      </c>
      <c r="K59" s="3">
        <v>15.004803430000001</v>
      </c>
      <c r="L59" s="3">
        <v>0.64329366399999999</v>
      </c>
      <c r="M59" s="3">
        <v>117.8958993</v>
      </c>
      <c r="N59" s="3">
        <v>0.76549293600000001</v>
      </c>
      <c r="O59" s="3">
        <v>2.8126691930000001</v>
      </c>
      <c r="P59" s="3">
        <v>1.862091E-3</v>
      </c>
      <c r="Q59" s="3">
        <v>-1.8090682950000001</v>
      </c>
      <c r="R59">
        <v>0</v>
      </c>
      <c r="S59" t="b">
        <v>1</v>
      </c>
      <c r="T59" s="1">
        <v>45322.666666666664</v>
      </c>
      <c r="U59" s="1">
        <v>45338.666666666664</v>
      </c>
      <c r="V59" s="3">
        <f t="shared" si="0"/>
        <v>4.3835616438356165E-2</v>
      </c>
      <c r="W59">
        <v>3.7900000000000003E-2</v>
      </c>
      <c r="X59" s="7">
        <v>1E-4</v>
      </c>
      <c r="Y59" s="5">
        <f t="shared" si="1"/>
        <v>2.4639006221922093E-2</v>
      </c>
      <c r="Z59" s="5">
        <f t="shared" si="2"/>
        <v>3.7900005E-2</v>
      </c>
      <c r="AA59" s="5">
        <f t="shared" si="3"/>
        <v>4.3835616438356165E-2</v>
      </c>
      <c r="AB59" s="5">
        <f t="shared" si="4"/>
        <v>2.0936956903608547E-5</v>
      </c>
      <c r="AC59" s="5">
        <f t="shared" si="5"/>
        <v>1256.1699594261918</v>
      </c>
      <c r="AD59" s="5">
        <f t="shared" si="6"/>
        <v>1</v>
      </c>
      <c r="AE59" s="5">
        <f t="shared" si="7"/>
        <v>0</v>
      </c>
      <c r="AF59" s="5">
        <f t="shared" si="8"/>
        <v>3.7899995000000006E-2</v>
      </c>
      <c r="AG59" s="5">
        <f t="shared" si="9"/>
        <v>1256.1699384892349</v>
      </c>
      <c r="AH59" s="5">
        <f t="shared" si="10"/>
        <v>1</v>
      </c>
      <c r="AI59" s="5">
        <f t="shared" si="11"/>
        <v>0</v>
      </c>
      <c r="AJ59" s="23">
        <f t="shared" si="12"/>
        <v>121.05295701185969</v>
      </c>
      <c r="AK59" s="20" t="str">
        <f t="shared" si="13"/>
        <v>Call</v>
      </c>
      <c r="AL59" s="20">
        <f t="shared" si="14"/>
        <v>121.05295701185969</v>
      </c>
      <c r="AM59" s="3">
        <f t="shared" si="15"/>
        <v>118.9</v>
      </c>
      <c r="AN59" s="5">
        <f t="shared" si="16"/>
        <v>117.8958993</v>
      </c>
      <c r="AO59" s="5">
        <f t="shared" si="17"/>
        <v>2.1529570118596837</v>
      </c>
      <c r="AP59" s="5">
        <f t="shared" si="18"/>
        <v>1256.1699594261918</v>
      </c>
      <c r="AQ59" s="5">
        <f t="shared" si="19"/>
        <v>1256.1699384892349</v>
      </c>
      <c r="AR59" s="5">
        <f t="shared" si="20"/>
        <v>118.9</v>
      </c>
      <c r="AS59" s="5">
        <f t="shared" si="21"/>
        <v>117.8958993</v>
      </c>
    </row>
    <row r="60" spans="1:45" x14ac:dyDescent="0.25">
      <c r="A60" s="1">
        <v>45322.666666666664</v>
      </c>
      <c r="B60">
        <v>20240216</v>
      </c>
      <c r="C60">
        <v>4663.5</v>
      </c>
      <c r="D60">
        <v>4648.2287960000003</v>
      </c>
      <c r="E60" t="s">
        <v>40</v>
      </c>
      <c r="F60">
        <v>4550</v>
      </c>
      <c r="G60">
        <v>10</v>
      </c>
      <c r="H60" t="s">
        <v>41</v>
      </c>
      <c r="I60" s="3">
        <v>18.8</v>
      </c>
      <c r="J60" s="3">
        <v>19.2</v>
      </c>
      <c r="K60" s="3">
        <v>15.004803430000001</v>
      </c>
      <c r="L60" s="3">
        <v>0.64329366399999999</v>
      </c>
      <c r="M60" s="3">
        <v>18.909409459999999</v>
      </c>
      <c r="N60" s="3">
        <v>-0.22968081800000001</v>
      </c>
      <c r="O60" s="3">
        <v>2.8126691930000001</v>
      </c>
      <c r="P60" s="3">
        <v>1.862091E-3</v>
      </c>
      <c r="Q60" s="3">
        <v>-1.8090682950000001</v>
      </c>
      <c r="R60">
        <v>0</v>
      </c>
      <c r="S60" t="b">
        <v>1</v>
      </c>
      <c r="T60" s="1">
        <v>45322.666666666664</v>
      </c>
      <c r="U60" s="1">
        <v>45338.666666666664</v>
      </c>
      <c r="V60" s="3">
        <f t="shared" si="0"/>
        <v>4.3835616438356165E-2</v>
      </c>
      <c r="W60">
        <v>3.7900000000000003E-2</v>
      </c>
      <c r="X60" s="7">
        <v>0.16062336526866361</v>
      </c>
      <c r="Y60" s="5">
        <f t="shared" si="1"/>
        <v>2.4639006221922093E-2</v>
      </c>
      <c r="Z60" s="5">
        <f t="shared" si="2"/>
        <v>5.0799932735115266E-2</v>
      </c>
      <c r="AA60" s="5">
        <f t="shared" si="3"/>
        <v>4.3835616438356165E-2</v>
      </c>
      <c r="AB60" s="5">
        <f t="shared" si="4"/>
        <v>3.3629644763425837E-2</v>
      </c>
      <c r="AC60" s="5">
        <f t="shared" si="5"/>
        <v>0.7988741117364121</v>
      </c>
      <c r="AD60" s="5">
        <f t="shared" si="6"/>
        <v>0.78781829423410188</v>
      </c>
      <c r="AE60" s="5">
        <f t="shared" si="7"/>
        <v>0.21218170576589807</v>
      </c>
      <c r="AF60" s="5">
        <f t="shared" si="8"/>
        <v>2.500006726488474E-2</v>
      </c>
      <c r="AG60" s="5">
        <f t="shared" si="9"/>
        <v>0.76524446697298631</v>
      </c>
      <c r="AH60" s="5">
        <f t="shared" si="10"/>
        <v>0.77793700728574766</v>
      </c>
      <c r="AI60" s="5">
        <f t="shared" si="11"/>
        <v>0.22206299271425234</v>
      </c>
      <c r="AJ60" s="23" t="str">
        <f t="shared" si="12"/>
        <v>Put</v>
      </c>
      <c r="AK60" s="20">
        <f t="shared" si="13"/>
        <v>19.199999772686851</v>
      </c>
      <c r="AL60" s="20">
        <f t="shared" si="14"/>
        <v>19.199999772686851</v>
      </c>
      <c r="AM60" s="3">
        <f t="shared" si="15"/>
        <v>19.2</v>
      </c>
      <c r="AN60" s="5">
        <f t="shared" si="16"/>
        <v>18.909409459999999</v>
      </c>
      <c r="AO60" s="5">
        <f t="shared" si="17"/>
        <v>-2.2731314786028634E-7</v>
      </c>
      <c r="AP60" s="5">
        <f t="shared" si="18"/>
        <v>0.7988741117364121</v>
      </c>
      <c r="AQ60" s="5">
        <f t="shared" si="19"/>
        <v>0.76524446697298631</v>
      </c>
      <c r="AR60" s="5">
        <f t="shared" si="20"/>
        <v>19.2</v>
      </c>
      <c r="AS60" s="5">
        <f t="shared" si="21"/>
        <v>18.909409459999999</v>
      </c>
    </row>
    <row r="61" spans="1:45" x14ac:dyDescent="0.25">
      <c r="A61" s="1">
        <v>45322.666666666664</v>
      </c>
      <c r="B61">
        <v>20240216</v>
      </c>
      <c r="C61">
        <v>4663.5</v>
      </c>
      <c r="D61">
        <v>4648.2287960000003</v>
      </c>
      <c r="E61" t="s">
        <v>42</v>
      </c>
      <c r="F61">
        <v>4575</v>
      </c>
      <c r="G61">
        <v>10</v>
      </c>
      <c r="H61" t="s">
        <v>41</v>
      </c>
      <c r="I61" s="3">
        <v>97.2</v>
      </c>
      <c r="J61" s="3">
        <v>98.8</v>
      </c>
      <c r="K61" s="3">
        <v>14.45934214</v>
      </c>
      <c r="L61" s="3">
        <v>0.64329366399999999</v>
      </c>
      <c r="M61" s="3">
        <v>97.953073029999999</v>
      </c>
      <c r="N61" s="3">
        <v>0.71310552199999999</v>
      </c>
      <c r="O61" s="3">
        <v>3.130463073</v>
      </c>
      <c r="P61" s="3">
        <v>2.2485420000000001E-3</v>
      </c>
      <c r="Q61" s="3">
        <v>-2.028576878</v>
      </c>
      <c r="R61">
        <v>0</v>
      </c>
      <c r="S61" t="b">
        <v>1</v>
      </c>
      <c r="T61" s="1">
        <v>45322.666666666664</v>
      </c>
      <c r="U61" s="1">
        <v>45338.666666666664</v>
      </c>
      <c r="V61" s="3">
        <f t="shared" si="0"/>
        <v>4.3835616438356165E-2</v>
      </c>
      <c r="W61">
        <v>3.7900000000000003E-2</v>
      </c>
      <c r="X61" s="7">
        <v>7.2314960212474827E-2</v>
      </c>
      <c r="Y61" s="5">
        <f t="shared" si="1"/>
        <v>1.9159540457296443E-2</v>
      </c>
      <c r="Z61" s="5">
        <f t="shared" si="2"/>
        <v>4.0514726735265912E-2</v>
      </c>
      <c r="AA61" s="5">
        <f t="shared" si="3"/>
        <v>4.3835616438356165E-2</v>
      </c>
      <c r="AB61" s="5">
        <f t="shared" si="4"/>
        <v>1.5140552054547523E-2</v>
      </c>
      <c r="AC61" s="5">
        <f t="shared" si="5"/>
        <v>1.3827453849201166</v>
      </c>
      <c r="AD61" s="5">
        <f t="shared" si="6"/>
        <v>0.91662852474327949</v>
      </c>
      <c r="AE61" s="5">
        <f t="shared" si="7"/>
        <v>8.3371475256720506E-2</v>
      </c>
      <c r="AF61" s="5">
        <f t="shared" si="8"/>
        <v>3.5285273264734095E-2</v>
      </c>
      <c r="AG61" s="5">
        <f t="shared" si="9"/>
        <v>1.367604832865569</v>
      </c>
      <c r="AH61" s="5">
        <f t="shared" si="10"/>
        <v>0.91428209855740028</v>
      </c>
      <c r="AI61" s="5">
        <f t="shared" si="11"/>
        <v>8.5717901442599748E-2</v>
      </c>
      <c r="AJ61" s="23">
        <f t="shared" si="12"/>
        <v>98.800000118432763</v>
      </c>
      <c r="AK61" s="20" t="str">
        <f t="shared" si="13"/>
        <v>Call</v>
      </c>
      <c r="AL61" s="20">
        <f t="shared" si="14"/>
        <v>98.800000118432763</v>
      </c>
      <c r="AM61" s="3">
        <f t="shared" si="15"/>
        <v>98.8</v>
      </c>
      <c r="AN61" s="5">
        <f t="shared" si="16"/>
        <v>97.953073029999999</v>
      </c>
      <c r="AO61" s="5">
        <f t="shared" si="17"/>
        <v>1.1843276581657847E-7</v>
      </c>
      <c r="AP61" s="5">
        <f t="shared" si="18"/>
        <v>1.3827453849201166</v>
      </c>
      <c r="AQ61" s="5">
        <f t="shared" si="19"/>
        <v>1.367604832865569</v>
      </c>
      <c r="AR61" s="5">
        <f t="shared" si="20"/>
        <v>98.8</v>
      </c>
      <c r="AS61" s="5">
        <f t="shared" si="21"/>
        <v>97.953073029999999</v>
      </c>
    </row>
    <row r="62" spans="1:45" x14ac:dyDescent="0.25">
      <c r="A62" s="1">
        <v>45322.666666666664</v>
      </c>
      <c r="B62">
        <v>20240216</v>
      </c>
      <c r="C62">
        <v>4663.5</v>
      </c>
      <c r="D62">
        <v>4648.2287960000003</v>
      </c>
      <c r="E62" t="s">
        <v>40</v>
      </c>
      <c r="F62">
        <v>4575</v>
      </c>
      <c r="G62">
        <v>10</v>
      </c>
      <c r="H62" t="s">
        <v>41</v>
      </c>
      <c r="I62" s="3">
        <v>23.7</v>
      </c>
      <c r="J62" s="3">
        <v>24.2</v>
      </c>
      <c r="K62" s="3">
        <v>14.45934214</v>
      </c>
      <c r="L62" s="3">
        <v>0.64329366399999999</v>
      </c>
      <c r="M62" s="3">
        <v>23.922661860000002</v>
      </c>
      <c r="N62" s="3">
        <v>-0.282068233</v>
      </c>
      <c r="O62" s="3">
        <v>3.130463073</v>
      </c>
      <c r="P62" s="3">
        <v>2.2485420000000001E-3</v>
      </c>
      <c r="Q62" s="3">
        <v>-2.028576878</v>
      </c>
      <c r="R62">
        <v>0</v>
      </c>
      <c r="S62" t="b">
        <v>1</v>
      </c>
      <c r="T62" s="1">
        <v>45322.666666666664</v>
      </c>
      <c r="U62" s="1">
        <v>45338.666666666664</v>
      </c>
      <c r="V62" s="3">
        <f t="shared" si="0"/>
        <v>4.3835616438356165E-2</v>
      </c>
      <c r="W62">
        <v>3.7900000000000003E-2</v>
      </c>
      <c r="X62" s="7">
        <v>0.15692128474419872</v>
      </c>
      <c r="Y62" s="5">
        <f t="shared" si="1"/>
        <v>1.9159540457296443E-2</v>
      </c>
      <c r="Z62" s="5">
        <f t="shared" si="2"/>
        <v>5.0212144802884953E-2</v>
      </c>
      <c r="AA62" s="5">
        <f t="shared" si="3"/>
        <v>4.3835616438356165E-2</v>
      </c>
      <c r="AB62" s="5">
        <f t="shared" si="4"/>
        <v>3.2854541759481742E-2</v>
      </c>
      <c r="AC62" s="5">
        <f t="shared" si="5"/>
        <v>0.65015731869881532</v>
      </c>
      <c r="AD62" s="5">
        <f t="shared" si="6"/>
        <v>0.74220469618756846</v>
      </c>
      <c r="AE62" s="5">
        <f t="shared" si="7"/>
        <v>0.25779530381243154</v>
      </c>
      <c r="AF62" s="5">
        <f t="shared" si="8"/>
        <v>2.5587855197115053E-2</v>
      </c>
      <c r="AG62" s="5">
        <f t="shared" si="9"/>
        <v>0.61730277693933355</v>
      </c>
      <c r="AH62" s="5">
        <f t="shared" si="10"/>
        <v>0.73148248223135492</v>
      </c>
      <c r="AI62" s="5">
        <f t="shared" si="11"/>
        <v>0.26851751776864508</v>
      </c>
      <c r="AJ62" s="23" t="str">
        <f t="shared" si="12"/>
        <v>Put</v>
      </c>
      <c r="AK62" s="20">
        <f t="shared" si="13"/>
        <v>24.199999780074904</v>
      </c>
      <c r="AL62" s="20">
        <f t="shared" si="14"/>
        <v>24.199999780074904</v>
      </c>
      <c r="AM62" s="3">
        <f t="shared" si="15"/>
        <v>24.2</v>
      </c>
      <c r="AN62" s="5">
        <f t="shared" si="16"/>
        <v>23.922661860000002</v>
      </c>
      <c r="AO62" s="5">
        <f t="shared" si="17"/>
        <v>-2.199250950241094E-7</v>
      </c>
      <c r="AP62" s="5">
        <f t="shared" si="18"/>
        <v>0.65015731869881532</v>
      </c>
      <c r="AQ62" s="5">
        <f t="shared" si="19"/>
        <v>0.61730277693933355</v>
      </c>
      <c r="AR62" s="5">
        <f t="shared" si="20"/>
        <v>24.2</v>
      </c>
      <c r="AS62" s="5">
        <f t="shared" si="21"/>
        <v>23.922661860000002</v>
      </c>
    </row>
    <row r="63" spans="1:45" x14ac:dyDescent="0.25">
      <c r="A63" s="1">
        <v>45322.666666666664</v>
      </c>
      <c r="B63">
        <v>20240216</v>
      </c>
      <c r="C63">
        <v>4663.5</v>
      </c>
      <c r="D63">
        <v>4648.2287960000003</v>
      </c>
      <c r="E63" t="s">
        <v>42</v>
      </c>
      <c r="F63">
        <v>4600</v>
      </c>
      <c r="G63">
        <v>10</v>
      </c>
      <c r="H63" t="s">
        <v>41</v>
      </c>
      <c r="I63" s="3">
        <v>78.7</v>
      </c>
      <c r="J63" s="3">
        <v>80.2</v>
      </c>
      <c r="K63" s="3">
        <v>13.956140660000001</v>
      </c>
      <c r="L63" s="3">
        <v>0.64329366399999999</v>
      </c>
      <c r="M63" s="3">
        <v>79.434831520000003</v>
      </c>
      <c r="N63" s="3">
        <v>0.65089102399999998</v>
      </c>
      <c r="O63" s="3">
        <v>3.4097443869999999</v>
      </c>
      <c r="P63" s="3">
        <v>2.639883E-3</v>
      </c>
      <c r="Q63" s="3">
        <v>-2.2187517259999998</v>
      </c>
      <c r="R63">
        <v>0</v>
      </c>
      <c r="S63" t="b">
        <v>1</v>
      </c>
      <c r="T63" s="1">
        <v>45322.666666666664</v>
      </c>
      <c r="U63" s="1">
        <v>45338.666666666664</v>
      </c>
      <c r="V63" s="3">
        <f t="shared" si="0"/>
        <v>4.3835616438356165E-2</v>
      </c>
      <c r="W63">
        <v>3.7900000000000003E-2</v>
      </c>
      <c r="X63" s="7">
        <v>8.5855500000000001E-2</v>
      </c>
      <c r="Y63" s="5">
        <f t="shared" si="1"/>
        <v>1.3709935689731839E-2</v>
      </c>
      <c r="Z63" s="5">
        <f t="shared" si="2"/>
        <v>4.1585583440125001E-2</v>
      </c>
      <c r="AA63" s="5">
        <f t="shared" si="3"/>
        <v>4.3835616438356165E-2</v>
      </c>
      <c r="AB63" s="5">
        <f t="shared" si="4"/>
        <v>1.7975529034377637E-2</v>
      </c>
      <c r="AC63" s="5">
        <f t="shared" si="5"/>
        <v>0.86411172350323018</v>
      </c>
      <c r="AD63" s="5">
        <f t="shared" si="6"/>
        <v>0.80623674028688008</v>
      </c>
      <c r="AE63" s="5">
        <f t="shared" si="7"/>
        <v>0.19376325971311989</v>
      </c>
      <c r="AF63" s="5">
        <f t="shared" si="8"/>
        <v>3.4214416559875005E-2</v>
      </c>
      <c r="AG63" s="5">
        <f t="shared" si="9"/>
        <v>0.84613619446885247</v>
      </c>
      <c r="AH63" s="5">
        <f t="shared" si="10"/>
        <v>0.80126161431866394</v>
      </c>
      <c r="AI63" s="5">
        <f t="shared" si="11"/>
        <v>0.19873838568133601</v>
      </c>
      <c r="AJ63" s="23">
        <f t="shared" si="12"/>
        <v>80.200011325688138</v>
      </c>
      <c r="AK63" s="20" t="str">
        <f t="shared" si="13"/>
        <v>Call</v>
      </c>
      <c r="AL63" s="20">
        <f t="shared" si="14"/>
        <v>80.200011325688138</v>
      </c>
      <c r="AM63" s="3">
        <f t="shared" si="15"/>
        <v>80.2</v>
      </c>
      <c r="AN63" s="5">
        <f t="shared" si="16"/>
        <v>79.434831520000003</v>
      </c>
      <c r="AO63" s="5">
        <f t="shared" si="17"/>
        <v>1.1325688134888878E-5</v>
      </c>
      <c r="AP63" s="5">
        <f t="shared" si="18"/>
        <v>0.86411172350323018</v>
      </c>
      <c r="AQ63" s="5">
        <f t="shared" si="19"/>
        <v>0.84613619446885247</v>
      </c>
      <c r="AR63" s="5">
        <f t="shared" si="20"/>
        <v>80.2</v>
      </c>
      <c r="AS63" s="5">
        <f t="shared" si="21"/>
        <v>79.434831520000003</v>
      </c>
    </row>
    <row r="64" spans="1:45" x14ac:dyDescent="0.25">
      <c r="A64" s="1">
        <v>45322.666666666664</v>
      </c>
      <c r="B64">
        <v>20240216</v>
      </c>
      <c r="C64">
        <v>4663.5</v>
      </c>
      <c r="D64">
        <v>4648.2287960000003</v>
      </c>
      <c r="E64" t="s">
        <v>40</v>
      </c>
      <c r="F64">
        <v>4600</v>
      </c>
      <c r="G64">
        <v>10</v>
      </c>
      <c r="H64" t="s">
        <v>41</v>
      </c>
      <c r="I64" s="3">
        <v>30</v>
      </c>
      <c r="J64" s="3">
        <v>30.6</v>
      </c>
      <c r="K64" s="3">
        <v>13.956140660000001</v>
      </c>
      <c r="L64" s="3">
        <v>0.64329366399999999</v>
      </c>
      <c r="M64" s="3">
        <v>30.360499000000001</v>
      </c>
      <c r="N64" s="3">
        <v>-0.34428273100000001</v>
      </c>
      <c r="O64" s="3">
        <v>3.4097443869999999</v>
      </c>
      <c r="P64" s="3">
        <v>2.639883E-3</v>
      </c>
      <c r="Q64" s="3">
        <v>-2.2187517259999998</v>
      </c>
      <c r="R64">
        <v>0</v>
      </c>
      <c r="S64" t="b">
        <v>1</v>
      </c>
      <c r="T64" s="1">
        <v>45322.666666666664</v>
      </c>
      <c r="U64" s="1">
        <v>45338.666666666664</v>
      </c>
      <c r="V64" s="3">
        <f t="shared" si="0"/>
        <v>4.3835616438356165E-2</v>
      </c>
      <c r="W64">
        <v>3.7900000000000003E-2</v>
      </c>
      <c r="X64" s="7">
        <v>0.15400779119043384</v>
      </c>
      <c r="Y64" s="5">
        <f t="shared" si="1"/>
        <v>1.3709935689731839E-2</v>
      </c>
      <c r="Z64" s="5">
        <f t="shared" si="2"/>
        <v>4.9759199873678141E-2</v>
      </c>
      <c r="AA64" s="5">
        <f t="shared" si="3"/>
        <v>4.3835616438356165E-2</v>
      </c>
      <c r="AB64" s="5">
        <f t="shared" si="4"/>
        <v>3.2244544869740571E-2</v>
      </c>
      <c r="AC64" s="5">
        <f t="shared" si="5"/>
        <v>0.49283253815087108</v>
      </c>
      <c r="AD64" s="5">
        <f t="shared" si="6"/>
        <v>0.68893454111361951</v>
      </c>
      <c r="AE64" s="5">
        <f t="shared" si="7"/>
        <v>0.31106545888638049</v>
      </c>
      <c r="AF64" s="5">
        <f t="shared" si="8"/>
        <v>2.6040800126321866E-2</v>
      </c>
      <c r="AG64" s="5">
        <f t="shared" si="9"/>
        <v>0.46058799328113048</v>
      </c>
      <c r="AH64" s="5">
        <f t="shared" si="10"/>
        <v>0.67745288628115286</v>
      </c>
      <c r="AI64" s="5">
        <f t="shared" si="11"/>
        <v>0.3225471137188472</v>
      </c>
      <c r="AJ64" s="23" t="str">
        <f t="shared" si="12"/>
        <v>Put</v>
      </c>
      <c r="AK64" s="20">
        <f t="shared" si="13"/>
        <v>30.599999847775734</v>
      </c>
      <c r="AL64" s="20">
        <f t="shared" si="14"/>
        <v>30.599999847775734</v>
      </c>
      <c r="AM64" s="3">
        <f t="shared" si="15"/>
        <v>30.6</v>
      </c>
      <c r="AN64" s="5">
        <f t="shared" si="16"/>
        <v>30.360499000000001</v>
      </c>
      <c r="AO64" s="5">
        <f t="shared" si="17"/>
        <v>-1.5222426696936964E-7</v>
      </c>
      <c r="AP64" s="5">
        <f t="shared" si="18"/>
        <v>0.49283253815087108</v>
      </c>
      <c r="AQ64" s="5">
        <f t="shared" si="19"/>
        <v>0.46058799328113048</v>
      </c>
      <c r="AR64" s="5">
        <f t="shared" si="20"/>
        <v>30.6</v>
      </c>
      <c r="AS64" s="5">
        <f t="shared" si="21"/>
        <v>30.360499000000001</v>
      </c>
    </row>
    <row r="65" spans="1:45" x14ac:dyDescent="0.25">
      <c r="A65" s="1">
        <v>45322.666666666664</v>
      </c>
      <c r="B65">
        <v>20240216</v>
      </c>
      <c r="C65">
        <v>4663.5</v>
      </c>
      <c r="D65">
        <v>4648.2287960000003</v>
      </c>
      <c r="E65" t="s">
        <v>42</v>
      </c>
      <c r="F65">
        <v>4625</v>
      </c>
      <c r="G65">
        <v>10</v>
      </c>
      <c r="H65" t="s">
        <v>41</v>
      </c>
      <c r="I65" s="3">
        <v>62</v>
      </c>
      <c r="J65" s="3">
        <v>63.2</v>
      </c>
      <c r="K65" s="3">
        <v>13.49452851</v>
      </c>
      <c r="L65" s="3">
        <v>0.64329366399999999</v>
      </c>
      <c r="M65" s="3">
        <v>62.629016839999998</v>
      </c>
      <c r="N65" s="3">
        <v>0.57928930099999998</v>
      </c>
      <c r="O65" s="3">
        <v>3.6098760140000001</v>
      </c>
      <c r="P65" s="3">
        <v>2.9924679999999999E-3</v>
      </c>
      <c r="Q65" s="3">
        <v>-2.3514645679999999</v>
      </c>
      <c r="R65">
        <v>0</v>
      </c>
      <c r="S65" t="b">
        <v>1</v>
      </c>
      <c r="T65" s="1">
        <v>45322.666666666664</v>
      </c>
      <c r="U65" s="1">
        <v>45338.666666666664</v>
      </c>
      <c r="V65" s="3">
        <f t="shared" si="0"/>
        <v>4.3835616438356165E-2</v>
      </c>
      <c r="W65">
        <v>3.7900000000000003E-2</v>
      </c>
      <c r="X65" s="7">
        <v>9.1402582153100209E-2</v>
      </c>
      <c r="Y65" s="5">
        <f t="shared" si="1"/>
        <v>8.289868220392585E-3</v>
      </c>
      <c r="Z65" s="5">
        <f t="shared" si="2"/>
        <v>4.2077216012127119E-2</v>
      </c>
      <c r="AA65" s="5">
        <f t="shared" si="3"/>
        <v>4.3835616438356165E-2</v>
      </c>
      <c r="AB65" s="5">
        <f t="shared" si="4"/>
        <v>1.9136919234179987E-2</v>
      </c>
      <c r="AC65" s="5">
        <f t="shared" si="5"/>
        <v>0.52957055408340403</v>
      </c>
      <c r="AD65" s="5">
        <f t="shared" si="6"/>
        <v>0.70179514262862075</v>
      </c>
      <c r="AE65" s="5">
        <f t="shared" si="7"/>
        <v>0.29820485737137925</v>
      </c>
      <c r="AF65" s="5">
        <f t="shared" si="8"/>
        <v>3.3722783987872887E-2</v>
      </c>
      <c r="AG65" s="5">
        <f t="shared" si="9"/>
        <v>0.5104336348492241</v>
      </c>
      <c r="AH65" s="5">
        <f t="shared" si="10"/>
        <v>0.69512615106842313</v>
      </c>
      <c r="AI65" s="5">
        <f t="shared" si="11"/>
        <v>0.30487384893157687</v>
      </c>
      <c r="AJ65" s="23">
        <f t="shared" si="12"/>
        <v>63.199999607199516</v>
      </c>
      <c r="AK65" s="20" t="str">
        <f t="shared" si="13"/>
        <v>Call</v>
      </c>
      <c r="AL65" s="20">
        <f t="shared" si="14"/>
        <v>63.199999607199516</v>
      </c>
      <c r="AM65" s="3">
        <f t="shared" si="15"/>
        <v>63.2</v>
      </c>
      <c r="AN65" s="5">
        <f t="shared" si="16"/>
        <v>62.629016839999998</v>
      </c>
      <c r="AO65" s="5">
        <f t="shared" si="17"/>
        <v>-3.9280048724776861E-7</v>
      </c>
      <c r="AP65" s="5">
        <f t="shared" si="18"/>
        <v>0.52957055408340403</v>
      </c>
      <c r="AQ65" s="5">
        <f t="shared" si="19"/>
        <v>0.5104336348492241</v>
      </c>
      <c r="AR65" s="5">
        <f t="shared" si="20"/>
        <v>63.2</v>
      </c>
      <c r="AS65" s="5">
        <f t="shared" si="21"/>
        <v>62.629016839999998</v>
      </c>
    </row>
    <row r="66" spans="1:45" x14ac:dyDescent="0.25">
      <c r="A66" s="1">
        <v>45322.666666666664</v>
      </c>
      <c r="B66">
        <v>20240216</v>
      </c>
      <c r="C66">
        <v>4663.5</v>
      </c>
      <c r="D66">
        <v>4648.2287960000003</v>
      </c>
      <c r="E66" t="s">
        <v>40</v>
      </c>
      <c r="F66">
        <v>4625</v>
      </c>
      <c r="G66">
        <v>10</v>
      </c>
      <c r="H66" t="s">
        <v>41</v>
      </c>
      <c r="I66" s="3">
        <v>38</v>
      </c>
      <c r="J66" s="3">
        <v>38.6</v>
      </c>
      <c r="K66" s="3">
        <v>13.49452851</v>
      </c>
      <c r="L66" s="3">
        <v>0.64329366399999999</v>
      </c>
      <c r="M66" s="3">
        <v>38.510762970000002</v>
      </c>
      <c r="N66" s="3">
        <v>-0.41588445400000001</v>
      </c>
      <c r="O66" s="3">
        <v>3.6098760140000001</v>
      </c>
      <c r="P66" s="3">
        <v>2.9924679999999999E-3</v>
      </c>
      <c r="Q66" s="3">
        <v>-2.3514645679999999</v>
      </c>
      <c r="R66">
        <v>0</v>
      </c>
      <c r="S66" t="b">
        <v>1</v>
      </c>
      <c r="T66" s="1">
        <v>45322.666666666664</v>
      </c>
      <c r="U66" s="1">
        <v>45338.666666666664</v>
      </c>
      <c r="V66" s="3">
        <f t="shared" si="0"/>
        <v>4.3835616438356165E-2</v>
      </c>
      <c r="W66">
        <v>3.7900000000000003E-2</v>
      </c>
      <c r="X66" s="7">
        <v>0.15178286561518733</v>
      </c>
      <c r="Y66" s="5">
        <f t="shared" si="1"/>
        <v>8.289868220392585E-3</v>
      </c>
      <c r="Z66" s="5">
        <f t="shared" si="2"/>
        <v>4.9419019147179014E-2</v>
      </c>
      <c r="AA66" s="5">
        <f t="shared" si="3"/>
        <v>4.3835616438356165E-2</v>
      </c>
      <c r="AB66" s="5">
        <f t="shared" si="4"/>
        <v>3.1778713160913852E-2</v>
      </c>
      <c r="AC66" s="5">
        <f t="shared" si="5"/>
        <v>0.32903098799320346</v>
      </c>
      <c r="AD66" s="5">
        <f t="shared" si="6"/>
        <v>0.62893386706641874</v>
      </c>
      <c r="AE66" s="5">
        <f t="shared" si="7"/>
        <v>0.37106613293358126</v>
      </c>
      <c r="AF66" s="5">
        <f t="shared" si="8"/>
        <v>2.6380980852820993E-2</v>
      </c>
      <c r="AG66" s="5">
        <f t="shared" si="9"/>
        <v>0.29725227483228966</v>
      </c>
      <c r="AH66" s="5">
        <f t="shared" si="10"/>
        <v>0.61686304256919633</v>
      </c>
      <c r="AI66" s="5">
        <f t="shared" si="11"/>
        <v>0.38313695743080362</v>
      </c>
      <c r="AJ66" s="23" t="str">
        <f t="shared" si="12"/>
        <v>Put</v>
      </c>
      <c r="AK66" s="20">
        <f t="shared" si="13"/>
        <v>38.599999932869878</v>
      </c>
      <c r="AL66" s="20">
        <f t="shared" si="14"/>
        <v>38.599999932869878</v>
      </c>
      <c r="AM66" s="3">
        <f t="shared" si="15"/>
        <v>38.6</v>
      </c>
      <c r="AN66" s="5">
        <f t="shared" si="16"/>
        <v>38.510762970000002</v>
      </c>
      <c r="AO66" s="5">
        <f t="shared" si="17"/>
        <v>-6.7130123682090925E-8</v>
      </c>
      <c r="AP66" s="5">
        <f t="shared" si="18"/>
        <v>0.32903098799320346</v>
      </c>
      <c r="AQ66" s="5">
        <f t="shared" si="19"/>
        <v>0.29725227483228966</v>
      </c>
      <c r="AR66" s="5">
        <f t="shared" si="20"/>
        <v>38.6</v>
      </c>
      <c r="AS66" s="5">
        <f t="shared" si="21"/>
        <v>38.510762970000002</v>
      </c>
    </row>
    <row r="67" spans="1:45" x14ac:dyDescent="0.25">
      <c r="A67" s="1">
        <v>45322.666666666664</v>
      </c>
      <c r="B67">
        <v>20240216</v>
      </c>
      <c r="C67">
        <v>4663.5</v>
      </c>
      <c r="D67">
        <v>4648.2287960000003</v>
      </c>
      <c r="E67" t="s">
        <v>42</v>
      </c>
      <c r="F67">
        <v>4650</v>
      </c>
      <c r="G67">
        <v>10</v>
      </c>
      <c r="H67" t="s">
        <v>41</v>
      </c>
      <c r="I67" s="3">
        <v>47.5</v>
      </c>
      <c r="J67" s="3">
        <v>48</v>
      </c>
      <c r="K67" s="3">
        <v>13.102048699999999</v>
      </c>
      <c r="L67" s="3">
        <v>0.64329366399999999</v>
      </c>
      <c r="M67" s="3">
        <v>47.908902410000003</v>
      </c>
      <c r="N67" s="3">
        <v>0.50002208699999995</v>
      </c>
      <c r="O67" s="3">
        <v>3.6881835010000001</v>
      </c>
      <c r="P67" s="3">
        <v>3.2373240000000002E-3</v>
      </c>
      <c r="Q67" s="3">
        <v>-2.398048492</v>
      </c>
      <c r="R67">
        <v>0</v>
      </c>
      <c r="S67" t="b">
        <v>1</v>
      </c>
      <c r="T67" s="1">
        <v>45322.666666666664</v>
      </c>
      <c r="U67" s="1">
        <v>45338.666666666664</v>
      </c>
      <c r="V67" s="3">
        <f t="shared" ref="V67:V106" si="22">(U67-T67)/365</f>
        <v>4.3835616438356165E-2</v>
      </c>
      <c r="W67">
        <v>3.7900000000000003E-2</v>
      </c>
      <c r="X67" s="7">
        <v>9.3689887661856527E-2</v>
      </c>
      <c r="Y67" s="5">
        <f t="shared" ref="Y67:Y106" si="23">(LN(C67/F67))</f>
        <v>2.8990195855162215E-3</v>
      </c>
      <c r="Z67" s="5">
        <f t="shared" ref="Z67:Z106" si="24">(W67+((X67)^2)/2)</f>
        <v>4.2288897525045652E-2</v>
      </c>
      <c r="AA67" s="5">
        <f t="shared" ref="AA67:AA106" si="25">V67</f>
        <v>4.3835616438356165E-2</v>
      </c>
      <c r="AB67" s="5">
        <f t="shared" ref="AB67:AB106" si="26">X67*SQRT(V67)</f>
        <v>1.9615811402802164E-2</v>
      </c>
      <c r="AC67" s="5">
        <f t="shared" ref="AC67:AC106" si="27">(Y67+Z67*AA67)/AB67</f>
        <v>0.24229328980732992</v>
      </c>
      <c r="AD67" s="5">
        <f t="shared" ref="AD67:AD106" si="28">_xlfn.NORM.DIST(AC67,0,1,TRUE)</f>
        <v>0.59572354357106772</v>
      </c>
      <c r="AE67" s="5">
        <f t="shared" ref="AE67:AE106" si="29">_xlfn.NORM.DIST(-AC67,0,1,TRUE)</f>
        <v>0.40427645642893228</v>
      </c>
      <c r="AF67" s="5">
        <f t="shared" ref="AF67:AF106" si="30">(W67-((X67)^2)/2)</f>
        <v>3.3511102474954355E-2</v>
      </c>
      <c r="AG67" s="5">
        <f t="shared" ref="AG67:AG106" si="31">(Y67+AF67*AA67)/AB67</f>
        <v>0.22267747840452776</v>
      </c>
      <c r="AH67" s="5">
        <f t="shared" ref="AH67:AH106" si="32">_xlfn.NORM.DIST(AG67,0,1,TRUE)</f>
        <v>0.58810673454300777</v>
      </c>
      <c r="AI67" s="5">
        <f t="shared" ref="AI67:AI106" si="33">_xlfn.NORM.DIST(-AG67,0,1,TRUE)</f>
        <v>0.41189326545699223</v>
      </c>
      <c r="AJ67" s="23">
        <f t="shared" ref="AJ67:AJ106" si="34">IF(E67="Call",C67*AD67-EXP(-W67*AA67)*F67*AH67,"Put")</f>
        <v>47.999999865371592</v>
      </c>
      <c r="AK67" s="20" t="str">
        <f t="shared" ref="AK67:AK106" si="35">IF(E67="Put",EXP(-W67*AA67)*F67*AI67-C67*AE67,"Call")</f>
        <v>Call</v>
      </c>
      <c r="AL67" s="20">
        <f t="shared" ref="AL67:AL106" si="36">IF(E67="Put",AK67,AJ67)</f>
        <v>47.999999865371592</v>
      </c>
      <c r="AM67" s="3">
        <f t="shared" ref="AM67:AM106" si="37">J67</f>
        <v>48</v>
      </c>
      <c r="AN67" s="5">
        <f t="shared" ref="AN67:AN106" si="38">M67</f>
        <v>47.908902410000003</v>
      </c>
      <c r="AO67" s="5">
        <f t="shared" ref="AO67:AO106" si="39">AL67-AM67</f>
        <v>-1.3462840797728859E-7</v>
      </c>
      <c r="AP67" s="5">
        <f t="shared" ref="AP67:AP106" si="40">(LN(C67/F67)+(W67+((X67)^2)/2)*(V67))/(X67*SQRT(V67))</f>
        <v>0.24229328980732992</v>
      </c>
      <c r="AQ67" s="5">
        <f t="shared" ref="AQ67:AQ106" si="41">(LN(C67/F67)+(W67-((X67)^2)/2)*(V67))/(X67*SQRT(V67))</f>
        <v>0.22267747840452776</v>
      </c>
      <c r="AR67" s="5">
        <f t="shared" ref="AR67:AR106" si="42">J67</f>
        <v>48</v>
      </c>
      <c r="AS67" s="5">
        <f t="shared" ref="AS67:AS106" si="43">M67</f>
        <v>47.908902410000003</v>
      </c>
    </row>
    <row r="68" spans="1:45" x14ac:dyDescent="0.25">
      <c r="A68" s="1">
        <v>45322.666666666664</v>
      </c>
      <c r="B68">
        <v>20240216</v>
      </c>
      <c r="C68">
        <v>4663.5</v>
      </c>
      <c r="D68">
        <v>4648.2287960000003</v>
      </c>
      <c r="E68" t="s">
        <v>40</v>
      </c>
      <c r="F68">
        <v>4650</v>
      </c>
      <c r="G68">
        <v>10</v>
      </c>
      <c r="H68" t="s">
        <v>41</v>
      </c>
      <c r="I68" s="3">
        <v>48.2</v>
      </c>
      <c r="J68" s="3">
        <v>48.9</v>
      </c>
      <c r="K68" s="3">
        <v>13.102048699999999</v>
      </c>
      <c r="L68" s="3">
        <v>0.64329366399999999</v>
      </c>
      <c r="M68" s="3">
        <v>48.746727200000002</v>
      </c>
      <c r="N68" s="3">
        <v>-0.49515166799999999</v>
      </c>
      <c r="O68" s="3">
        <v>3.6881835010000001</v>
      </c>
      <c r="P68" s="3">
        <v>3.2373240000000002E-3</v>
      </c>
      <c r="Q68" s="3">
        <v>-2.398048492</v>
      </c>
      <c r="R68">
        <v>0</v>
      </c>
      <c r="S68" t="b">
        <v>1</v>
      </c>
      <c r="T68" s="1">
        <v>45322.666666666664</v>
      </c>
      <c r="U68" s="1">
        <v>45338.666666666664</v>
      </c>
      <c r="V68" s="3">
        <f t="shared" si="22"/>
        <v>4.3835616438356165E-2</v>
      </c>
      <c r="W68">
        <v>3.7900000000000003E-2</v>
      </c>
      <c r="X68" s="7">
        <v>0.15156688263984003</v>
      </c>
      <c r="Y68" s="5">
        <f t="shared" si="23"/>
        <v>2.8990195855162215E-3</v>
      </c>
      <c r="Z68" s="5">
        <f t="shared" si="24"/>
        <v>4.9386259956579526E-2</v>
      </c>
      <c r="AA68" s="5">
        <f t="shared" si="25"/>
        <v>4.3835616438356165E-2</v>
      </c>
      <c r="AB68" s="5">
        <f t="shared" si="26"/>
        <v>3.173349289844625E-2</v>
      </c>
      <c r="AC68" s="5">
        <f t="shared" si="27"/>
        <v>0.15957577536463785</v>
      </c>
      <c r="AD68" s="5">
        <f t="shared" si="28"/>
        <v>0.56339236856359931</v>
      </c>
      <c r="AE68" s="5">
        <f t="shared" si="29"/>
        <v>0.43660763143640069</v>
      </c>
      <c r="AF68" s="5">
        <f t="shared" si="30"/>
        <v>2.6413740043420481E-2</v>
      </c>
      <c r="AG68" s="5">
        <f t="shared" si="31"/>
        <v>0.12784228246619161</v>
      </c>
      <c r="AH68" s="5">
        <f t="shared" si="32"/>
        <v>0.55086310599375921</v>
      </c>
      <c r="AI68" s="5">
        <f t="shared" si="33"/>
        <v>0.44913689400624079</v>
      </c>
      <c r="AJ68" s="23" t="str">
        <f t="shared" si="34"/>
        <v>Put</v>
      </c>
      <c r="AK68" s="20">
        <f t="shared" si="35"/>
        <v>48.899999972432397</v>
      </c>
      <c r="AL68" s="20">
        <f t="shared" si="36"/>
        <v>48.899999972432397</v>
      </c>
      <c r="AM68" s="3">
        <f t="shared" si="37"/>
        <v>48.9</v>
      </c>
      <c r="AN68" s="5">
        <f t="shared" si="38"/>
        <v>48.746727200000002</v>
      </c>
      <c r="AO68" s="5">
        <f t="shared" si="39"/>
        <v>-2.7567601534883579E-8</v>
      </c>
      <c r="AP68" s="5">
        <f t="shared" si="40"/>
        <v>0.15957577536463785</v>
      </c>
      <c r="AQ68" s="5">
        <f t="shared" si="41"/>
        <v>0.12784228246619161</v>
      </c>
      <c r="AR68" s="5">
        <f t="shared" si="42"/>
        <v>48.9</v>
      </c>
      <c r="AS68" s="5">
        <f t="shared" si="43"/>
        <v>48.746727200000002</v>
      </c>
    </row>
    <row r="69" spans="1:45" x14ac:dyDescent="0.25">
      <c r="A69" s="1">
        <v>45322.666666666664</v>
      </c>
      <c r="B69">
        <v>20240216</v>
      </c>
      <c r="C69">
        <v>4663.5</v>
      </c>
      <c r="D69">
        <v>4648.2287960000003</v>
      </c>
      <c r="E69" t="s">
        <v>42</v>
      </c>
      <c r="F69">
        <v>4675</v>
      </c>
      <c r="G69">
        <v>10</v>
      </c>
      <c r="H69" t="s">
        <v>41</v>
      </c>
      <c r="I69" s="3">
        <v>35.200000000000003</v>
      </c>
      <c r="J69" s="3">
        <v>35.799999999999997</v>
      </c>
      <c r="K69" s="3">
        <v>12.805653</v>
      </c>
      <c r="L69" s="3">
        <v>0.64329366399999999</v>
      </c>
      <c r="M69" s="3">
        <v>35.57691896</v>
      </c>
      <c r="N69" s="3">
        <v>0.41695318599999998</v>
      </c>
      <c r="O69" s="3">
        <v>3.6119201809999999</v>
      </c>
      <c r="P69" s="3">
        <v>3.3007459999999998E-3</v>
      </c>
      <c r="Q69" s="3">
        <v>-2.3356568719999999</v>
      </c>
      <c r="R69">
        <v>0</v>
      </c>
      <c r="S69" t="b">
        <v>1</v>
      </c>
      <c r="T69" s="1">
        <v>45322.666666666664</v>
      </c>
      <c r="U69" s="1">
        <v>45338.666666666664</v>
      </c>
      <c r="V69" s="3">
        <f t="shared" si="22"/>
        <v>4.3835616438356165E-2</v>
      </c>
      <c r="W69">
        <v>3.7900000000000003E-2</v>
      </c>
      <c r="X69" s="7">
        <v>9.6593899999999996E-2</v>
      </c>
      <c r="Y69" s="5">
        <f t="shared" si="23"/>
        <v>-2.4629235558691633E-3</v>
      </c>
      <c r="Z69" s="5">
        <f t="shared" si="24"/>
        <v>4.2565190758605001E-2</v>
      </c>
      <c r="AA69" s="5">
        <f t="shared" si="25"/>
        <v>4.3835616438356165E-2</v>
      </c>
      <c r="AB69" s="5">
        <f t="shared" si="26"/>
        <v>2.0223823214514734E-2</v>
      </c>
      <c r="AC69" s="5">
        <f t="shared" si="27"/>
        <v>-2.9522221086316892E-2</v>
      </c>
      <c r="AD69" s="5">
        <f t="shared" si="28"/>
        <v>0.48822404839989947</v>
      </c>
      <c r="AE69" s="5">
        <f t="shared" si="29"/>
        <v>0.51177595160010059</v>
      </c>
      <c r="AF69" s="5">
        <f t="shared" si="30"/>
        <v>3.3234809241395005E-2</v>
      </c>
      <c r="AG69" s="5">
        <f t="shared" si="31"/>
        <v>-4.9746044300831627E-2</v>
      </c>
      <c r="AH69" s="5">
        <f t="shared" si="32"/>
        <v>0.48016238190575194</v>
      </c>
      <c r="AI69" s="5">
        <f t="shared" si="33"/>
        <v>0.51983761809424811</v>
      </c>
      <c r="AJ69" s="23">
        <f t="shared" si="34"/>
        <v>35.79999325996414</v>
      </c>
      <c r="AK69" s="20" t="str">
        <f t="shared" si="35"/>
        <v>Call</v>
      </c>
      <c r="AL69" s="20">
        <f t="shared" si="36"/>
        <v>35.79999325996414</v>
      </c>
      <c r="AM69" s="3">
        <f t="shared" si="37"/>
        <v>35.799999999999997</v>
      </c>
      <c r="AN69" s="5">
        <f t="shared" si="38"/>
        <v>35.57691896</v>
      </c>
      <c r="AO69" s="5">
        <f t="shared" si="39"/>
        <v>-6.7400358574332131E-6</v>
      </c>
      <c r="AP69" s="5">
        <f t="shared" si="40"/>
        <v>-2.9522221086316892E-2</v>
      </c>
      <c r="AQ69" s="5">
        <f t="shared" si="41"/>
        <v>-4.9746044300831627E-2</v>
      </c>
      <c r="AR69" s="5">
        <f t="shared" si="42"/>
        <v>35.799999999999997</v>
      </c>
      <c r="AS69" s="5">
        <f t="shared" si="43"/>
        <v>35.57691896</v>
      </c>
    </row>
    <row r="70" spans="1:45" x14ac:dyDescent="0.25">
      <c r="A70" s="1">
        <v>45322.666666666664</v>
      </c>
      <c r="B70">
        <v>20240216</v>
      </c>
      <c r="C70">
        <v>4663.5</v>
      </c>
      <c r="D70">
        <v>4648.2287960000003</v>
      </c>
      <c r="E70" t="s">
        <v>40</v>
      </c>
      <c r="F70">
        <v>4675</v>
      </c>
      <c r="G70">
        <v>10</v>
      </c>
      <c r="H70" t="s">
        <v>41</v>
      </c>
      <c r="I70" s="3">
        <v>61</v>
      </c>
      <c r="J70" s="3">
        <v>61.7</v>
      </c>
      <c r="K70" s="3">
        <v>12.805653</v>
      </c>
      <c r="L70" s="3">
        <v>0.64329366399999999</v>
      </c>
      <c r="M70" s="3">
        <v>61.370822390000001</v>
      </c>
      <c r="N70" s="3">
        <v>-0.57822056899999996</v>
      </c>
      <c r="O70" s="3">
        <v>3.6119201809999999</v>
      </c>
      <c r="P70" s="3">
        <v>3.3007459999999998E-3</v>
      </c>
      <c r="Q70" s="3">
        <v>-2.3356568719999999</v>
      </c>
      <c r="R70">
        <v>0</v>
      </c>
      <c r="S70" t="b">
        <v>1</v>
      </c>
      <c r="T70" s="1">
        <v>45322.666666666664</v>
      </c>
      <c r="U70" s="1">
        <v>45338.666666666664</v>
      </c>
      <c r="V70" s="3">
        <f t="shared" si="22"/>
        <v>4.3835616438356165E-2</v>
      </c>
      <c r="W70">
        <v>3.7900000000000003E-2</v>
      </c>
      <c r="X70" s="7">
        <v>0.15349513170350754</v>
      </c>
      <c r="Y70" s="5">
        <f t="shared" si="23"/>
        <v>-2.4629235558691633E-3</v>
      </c>
      <c r="Z70" s="5">
        <f t="shared" si="24"/>
        <v>4.9680377728338568E-2</v>
      </c>
      <c r="AA70" s="5">
        <f t="shared" si="25"/>
        <v>4.3835616438356165E-2</v>
      </c>
      <c r="AB70" s="5">
        <f t="shared" si="26"/>
        <v>3.2137209573900552E-2</v>
      </c>
      <c r="AC70" s="5">
        <f t="shared" si="27"/>
        <v>-8.8730035070824047E-3</v>
      </c>
      <c r="AD70" s="5">
        <f t="shared" si="28"/>
        <v>0.49646023019472785</v>
      </c>
      <c r="AE70" s="5">
        <f t="shared" si="29"/>
        <v>0.50353976980527215</v>
      </c>
      <c r="AF70" s="5">
        <f t="shared" si="30"/>
        <v>2.6119622271661438E-2</v>
      </c>
      <c r="AG70" s="5">
        <f t="shared" si="31"/>
        <v>-4.1010213080982967E-2</v>
      </c>
      <c r="AH70" s="5">
        <f t="shared" si="32"/>
        <v>0.48364387692591326</v>
      </c>
      <c r="AI70" s="5">
        <f t="shared" si="33"/>
        <v>0.51635612307408674</v>
      </c>
      <c r="AJ70" s="23" t="str">
        <f t="shared" si="34"/>
        <v>Put</v>
      </c>
      <c r="AK70" s="20">
        <f t="shared" si="35"/>
        <v>61.699999998354997</v>
      </c>
      <c r="AL70" s="20">
        <f t="shared" si="36"/>
        <v>61.699999998354997</v>
      </c>
      <c r="AM70" s="3">
        <f t="shared" si="37"/>
        <v>61.7</v>
      </c>
      <c r="AN70" s="5">
        <f t="shared" si="38"/>
        <v>61.370822390000001</v>
      </c>
      <c r="AO70" s="5">
        <f t="shared" si="39"/>
        <v>-1.6450059092676383E-9</v>
      </c>
      <c r="AP70" s="5">
        <f t="shared" si="40"/>
        <v>-8.8730035070824047E-3</v>
      </c>
      <c r="AQ70" s="5">
        <f t="shared" si="41"/>
        <v>-4.1010213080982967E-2</v>
      </c>
      <c r="AR70" s="5">
        <f t="shared" si="42"/>
        <v>61.7</v>
      </c>
      <c r="AS70" s="5">
        <f t="shared" si="43"/>
        <v>61.370822390000001</v>
      </c>
    </row>
    <row r="71" spans="1:45" x14ac:dyDescent="0.25">
      <c r="A71" s="1">
        <v>45322.666666666664</v>
      </c>
      <c r="B71">
        <v>20240216</v>
      </c>
      <c r="C71">
        <v>4663.5</v>
      </c>
      <c r="D71">
        <v>4648.2287960000003</v>
      </c>
      <c r="E71" t="s">
        <v>42</v>
      </c>
      <c r="F71">
        <v>4700</v>
      </c>
      <c r="G71">
        <v>10</v>
      </c>
      <c r="H71" t="s">
        <v>41</v>
      </c>
      <c r="I71" s="3">
        <v>25.5</v>
      </c>
      <c r="J71" s="3">
        <v>26</v>
      </c>
      <c r="K71" s="3">
        <v>12.60381662</v>
      </c>
      <c r="L71" s="3">
        <v>0.64329366399999999</v>
      </c>
      <c r="M71" s="3">
        <v>25.68141662</v>
      </c>
      <c r="N71" s="3">
        <v>0.33539074200000002</v>
      </c>
      <c r="O71" s="3">
        <v>3.3760061709999998</v>
      </c>
      <c r="P71" s="3">
        <v>3.151671E-3</v>
      </c>
      <c r="Q71" s="3">
        <v>-2.16042135</v>
      </c>
      <c r="R71">
        <v>0</v>
      </c>
      <c r="S71" t="b">
        <v>1</v>
      </c>
      <c r="T71" s="1">
        <v>45322.666666666664</v>
      </c>
      <c r="U71" s="1">
        <v>45338.666666666664</v>
      </c>
      <c r="V71" s="3">
        <f t="shared" si="22"/>
        <v>4.3835616438356165E-2</v>
      </c>
      <c r="W71">
        <v>3.7900000000000003E-2</v>
      </c>
      <c r="X71" s="7">
        <v>9.8962900000000006E-2</v>
      </c>
      <c r="Y71" s="5">
        <f t="shared" si="23"/>
        <v>-7.7962695312317754E-3</v>
      </c>
      <c r="Z71" s="5">
        <f t="shared" si="24"/>
        <v>4.2796827788205004E-2</v>
      </c>
      <c r="AA71" s="5">
        <f t="shared" si="25"/>
        <v>4.3835616438356165E-2</v>
      </c>
      <c r="AB71" s="5">
        <f t="shared" si="26"/>
        <v>2.0719819723561225E-2</v>
      </c>
      <c r="AC71" s="5">
        <f t="shared" si="27"/>
        <v>-0.28572855760890253</v>
      </c>
      <c r="AD71" s="5">
        <f t="shared" si="28"/>
        <v>0.38754301516245915</v>
      </c>
      <c r="AE71" s="5">
        <f t="shared" si="29"/>
        <v>0.61245698483754085</v>
      </c>
      <c r="AF71" s="5">
        <f t="shared" si="30"/>
        <v>3.3003172211795002E-2</v>
      </c>
      <c r="AG71" s="5">
        <f t="shared" si="31"/>
        <v>-0.30644837733246377</v>
      </c>
      <c r="AH71" s="5">
        <f t="shared" si="32"/>
        <v>0.37963163955838886</v>
      </c>
      <c r="AI71" s="5">
        <f t="shared" si="33"/>
        <v>0.62036836044161114</v>
      </c>
      <c r="AJ71" s="23">
        <f t="shared" si="34"/>
        <v>26.000014479866422</v>
      </c>
      <c r="AK71" s="20" t="str">
        <f t="shared" si="35"/>
        <v>Call</v>
      </c>
      <c r="AL71" s="20">
        <f t="shared" si="36"/>
        <v>26.000014479866422</v>
      </c>
      <c r="AM71" s="3">
        <f t="shared" si="37"/>
        <v>26</v>
      </c>
      <c r="AN71" s="5">
        <f t="shared" si="38"/>
        <v>25.68141662</v>
      </c>
      <c r="AO71" s="5">
        <f t="shared" si="39"/>
        <v>1.4479866422334453E-5</v>
      </c>
      <c r="AP71" s="5">
        <f t="shared" si="40"/>
        <v>-0.28572855760890253</v>
      </c>
      <c r="AQ71" s="5">
        <f t="shared" si="41"/>
        <v>-0.30644837733246377</v>
      </c>
      <c r="AR71" s="5">
        <f t="shared" si="42"/>
        <v>26</v>
      </c>
      <c r="AS71" s="5">
        <f t="shared" si="43"/>
        <v>25.68141662</v>
      </c>
    </row>
    <row r="72" spans="1:45" x14ac:dyDescent="0.25">
      <c r="A72" s="1">
        <v>45322.666666666664</v>
      </c>
      <c r="B72">
        <v>20240216</v>
      </c>
      <c r="C72">
        <v>4663.5</v>
      </c>
      <c r="D72">
        <v>4648.2287960000003</v>
      </c>
      <c r="E72" t="s">
        <v>40</v>
      </c>
      <c r="F72">
        <v>4700</v>
      </c>
      <c r="G72">
        <v>10</v>
      </c>
      <c r="H72" t="s">
        <v>41</v>
      </c>
      <c r="I72" s="3">
        <v>75.8</v>
      </c>
      <c r="J72" s="3">
        <v>77.2</v>
      </c>
      <c r="K72" s="3">
        <v>12.60381662</v>
      </c>
      <c r="L72" s="3">
        <v>0.64329366399999999</v>
      </c>
      <c r="M72" s="3">
        <v>76.431398709999996</v>
      </c>
      <c r="N72" s="3">
        <v>-0.65978301299999997</v>
      </c>
      <c r="O72" s="3">
        <v>3.3760061709999998</v>
      </c>
      <c r="P72" s="3">
        <v>3.151671E-3</v>
      </c>
      <c r="Q72" s="3">
        <v>-2.16042135</v>
      </c>
      <c r="R72">
        <v>0</v>
      </c>
      <c r="S72" t="b">
        <v>1</v>
      </c>
      <c r="T72" s="1">
        <v>45322.666666666664</v>
      </c>
      <c r="U72" s="1">
        <v>45338.666666666664</v>
      </c>
      <c r="V72" s="3">
        <f t="shared" si="22"/>
        <v>4.3835616438356165E-2</v>
      </c>
      <c r="W72">
        <v>3.7900000000000003E-2</v>
      </c>
      <c r="X72" s="7">
        <v>0.15815883538550507</v>
      </c>
      <c r="Y72" s="5">
        <f t="shared" si="23"/>
        <v>-7.7962695312317754E-3</v>
      </c>
      <c r="Z72" s="5">
        <f t="shared" si="24"/>
        <v>5.0407108605249648E-2</v>
      </c>
      <c r="AA72" s="5">
        <f t="shared" si="25"/>
        <v>4.3835616438356165E-2</v>
      </c>
      <c r="AB72" s="5">
        <f t="shared" si="26"/>
        <v>3.3113647203912383E-2</v>
      </c>
      <c r="AC72" s="5">
        <f t="shared" si="27"/>
        <v>-0.16871119083449759</v>
      </c>
      <c r="AD72" s="5">
        <f t="shared" si="28"/>
        <v>0.43301190797639977</v>
      </c>
      <c r="AE72" s="5">
        <f t="shared" si="29"/>
        <v>0.56698809202360023</v>
      </c>
      <c r="AF72" s="5">
        <f t="shared" si="30"/>
        <v>2.5392891394750358E-2</v>
      </c>
      <c r="AG72" s="5">
        <f t="shared" si="31"/>
        <v>-0.20182483803840998</v>
      </c>
      <c r="AH72" s="5">
        <f t="shared" si="32"/>
        <v>0.42002683157692694</v>
      </c>
      <c r="AI72" s="5">
        <f t="shared" si="33"/>
        <v>0.57997316842307312</v>
      </c>
      <c r="AJ72" s="23" t="str">
        <f t="shared" si="34"/>
        <v>Put</v>
      </c>
      <c r="AK72" s="20">
        <f t="shared" si="35"/>
        <v>77.199999530247624</v>
      </c>
      <c r="AL72" s="20">
        <f t="shared" si="36"/>
        <v>77.199999530247624</v>
      </c>
      <c r="AM72" s="3">
        <f t="shared" si="37"/>
        <v>77.2</v>
      </c>
      <c r="AN72" s="5">
        <f t="shared" si="38"/>
        <v>76.431398709999996</v>
      </c>
      <c r="AO72" s="5">
        <f t="shared" si="39"/>
        <v>-4.6975237921742519E-7</v>
      </c>
      <c r="AP72" s="5">
        <f t="shared" si="40"/>
        <v>-0.16871119083449759</v>
      </c>
      <c r="AQ72" s="5">
        <f t="shared" si="41"/>
        <v>-0.20182483803840998</v>
      </c>
      <c r="AR72" s="5">
        <f t="shared" si="42"/>
        <v>77.2</v>
      </c>
      <c r="AS72" s="5">
        <f t="shared" si="43"/>
        <v>76.431398709999996</v>
      </c>
    </row>
    <row r="73" spans="1:45" x14ac:dyDescent="0.25">
      <c r="A73" s="1">
        <v>45322.666666666664</v>
      </c>
      <c r="B73">
        <v>20240216</v>
      </c>
      <c r="C73">
        <v>4663.5</v>
      </c>
      <c r="D73">
        <v>4648.2287960000003</v>
      </c>
      <c r="E73" t="s">
        <v>42</v>
      </c>
      <c r="F73">
        <v>4725</v>
      </c>
      <c r="G73">
        <v>10</v>
      </c>
      <c r="H73" t="s">
        <v>41</v>
      </c>
      <c r="I73" s="3">
        <v>18</v>
      </c>
      <c r="J73" s="3">
        <v>18.5</v>
      </c>
      <c r="K73" s="3">
        <v>12.495044310000001</v>
      </c>
      <c r="L73" s="3">
        <v>0.64329366399999999</v>
      </c>
      <c r="M73" s="3">
        <v>18.091011250000001</v>
      </c>
      <c r="N73" s="3">
        <v>0.26059342000000002</v>
      </c>
      <c r="O73" s="3">
        <v>3.0097791950000001</v>
      </c>
      <c r="P73" s="3">
        <v>2.819939E-3</v>
      </c>
      <c r="Q73" s="3">
        <v>-1.899803495</v>
      </c>
      <c r="R73">
        <v>0</v>
      </c>
      <c r="S73" t="b">
        <v>1</v>
      </c>
      <c r="T73" s="1">
        <v>45322.666666666664</v>
      </c>
      <c r="U73" s="1">
        <v>45338.666666666664</v>
      </c>
      <c r="V73" s="3">
        <f t="shared" si="22"/>
        <v>4.3835616438356165E-2</v>
      </c>
      <c r="W73">
        <v>3.7900000000000003E-2</v>
      </c>
      <c r="X73" s="7">
        <v>0.10131900000000001</v>
      </c>
      <c r="Y73" s="5">
        <f t="shared" si="23"/>
        <v>-1.3101321760924956E-2</v>
      </c>
      <c r="Z73" s="5">
        <f t="shared" si="24"/>
        <v>4.3032769880500005E-2</v>
      </c>
      <c r="AA73" s="5">
        <f t="shared" si="25"/>
        <v>4.3835616438356165E-2</v>
      </c>
      <c r="AB73" s="5">
        <f t="shared" si="26"/>
        <v>2.1213115365167144E-2</v>
      </c>
      <c r="AC73" s="5">
        <f t="shared" si="27"/>
        <v>-0.52868018549405293</v>
      </c>
      <c r="AD73" s="5">
        <f t="shared" si="28"/>
        <v>0.29851366241063926</v>
      </c>
      <c r="AE73" s="5">
        <f t="shared" si="29"/>
        <v>0.70148633758936074</v>
      </c>
      <c r="AF73" s="5">
        <f t="shared" si="30"/>
        <v>3.2767230119500002E-2</v>
      </c>
      <c r="AG73" s="5">
        <f t="shared" si="31"/>
        <v>-0.54989330085922017</v>
      </c>
      <c r="AH73" s="5">
        <f t="shared" si="32"/>
        <v>0.29119627967665085</v>
      </c>
      <c r="AI73" s="5">
        <f t="shared" si="33"/>
        <v>0.70880372032334915</v>
      </c>
      <c r="AJ73" s="23">
        <f t="shared" si="34"/>
        <v>18.500028200037377</v>
      </c>
      <c r="AK73" s="20" t="str">
        <f t="shared" si="35"/>
        <v>Call</v>
      </c>
      <c r="AL73" s="20">
        <f t="shared" si="36"/>
        <v>18.500028200037377</v>
      </c>
      <c r="AM73" s="3">
        <f t="shared" si="37"/>
        <v>18.5</v>
      </c>
      <c r="AN73" s="5">
        <f t="shared" si="38"/>
        <v>18.091011250000001</v>
      </c>
      <c r="AO73" s="5">
        <f t="shared" si="39"/>
        <v>2.820003737724619E-5</v>
      </c>
      <c r="AP73" s="5">
        <f t="shared" si="40"/>
        <v>-0.52868018549405293</v>
      </c>
      <c r="AQ73" s="5">
        <f t="shared" si="41"/>
        <v>-0.54989330085922017</v>
      </c>
      <c r="AR73" s="5">
        <f t="shared" si="42"/>
        <v>18.5</v>
      </c>
      <c r="AS73" s="5">
        <f t="shared" si="43"/>
        <v>18.091011250000001</v>
      </c>
    </row>
    <row r="74" spans="1:45" x14ac:dyDescent="0.25">
      <c r="A74" s="1">
        <v>45322.666666666664</v>
      </c>
      <c r="B74">
        <v>20240216</v>
      </c>
      <c r="C74">
        <v>4663.5</v>
      </c>
      <c r="D74">
        <v>4648.2287960000003</v>
      </c>
      <c r="E74" t="s">
        <v>40</v>
      </c>
      <c r="F74">
        <v>4725</v>
      </c>
      <c r="G74">
        <v>10</v>
      </c>
      <c r="H74" t="s">
        <v>41</v>
      </c>
      <c r="I74" s="3">
        <v>93.1</v>
      </c>
      <c r="J74" s="3">
        <v>94.7</v>
      </c>
      <c r="K74" s="3">
        <v>12.495044310000001</v>
      </c>
      <c r="L74" s="3">
        <v>0.64329366399999999</v>
      </c>
      <c r="M74" s="3">
        <v>93.797071990000006</v>
      </c>
      <c r="N74" s="3">
        <v>-0.73458033499999997</v>
      </c>
      <c r="O74" s="3">
        <v>3.0097791950000001</v>
      </c>
      <c r="P74" s="3">
        <v>2.819939E-3</v>
      </c>
      <c r="Q74" s="3">
        <v>-1.899803495</v>
      </c>
      <c r="R74">
        <v>0</v>
      </c>
      <c r="S74" t="b">
        <v>1</v>
      </c>
      <c r="T74" s="1">
        <v>45322.666666666664</v>
      </c>
      <c r="U74" s="1">
        <v>45338.666666666664</v>
      </c>
      <c r="V74" s="3">
        <f t="shared" si="22"/>
        <v>4.3835616438356165E-2</v>
      </c>
      <c r="W74">
        <v>3.7900000000000003E-2</v>
      </c>
      <c r="X74" s="7">
        <v>0.16424958136049927</v>
      </c>
      <c r="Y74" s="5">
        <f t="shared" si="23"/>
        <v>-1.3101321760924956E-2</v>
      </c>
      <c r="Z74" s="5">
        <f t="shared" si="24"/>
        <v>5.1388962488549642E-2</v>
      </c>
      <c r="AA74" s="5">
        <f t="shared" si="25"/>
        <v>4.3835616438356165E-2</v>
      </c>
      <c r="AB74" s="5">
        <f t="shared" si="26"/>
        <v>3.4388864063805188E-2</v>
      </c>
      <c r="AC74" s="5">
        <f t="shared" si="27"/>
        <v>-0.31546999900849293</v>
      </c>
      <c r="AD74" s="5">
        <f t="shared" si="28"/>
        <v>0.3762024131468667</v>
      </c>
      <c r="AE74" s="5">
        <f t="shared" si="29"/>
        <v>0.62379758685313336</v>
      </c>
      <c r="AF74" s="5">
        <f t="shared" si="30"/>
        <v>2.4411037511450368E-2</v>
      </c>
      <c r="AG74" s="5">
        <f t="shared" si="31"/>
        <v>-0.34985886307229813</v>
      </c>
      <c r="AH74" s="5">
        <f t="shared" si="32"/>
        <v>0.36322231040200398</v>
      </c>
      <c r="AI74" s="5">
        <f t="shared" si="33"/>
        <v>0.63677768959799597</v>
      </c>
      <c r="AJ74" s="23" t="str">
        <f t="shared" si="34"/>
        <v>Put</v>
      </c>
      <c r="AK74" s="20">
        <f t="shared" si="35"/>
        <v>94.699999679311986</v>
      </c>
      <c r="AL74" s="20">
        <f t="shared" si="36"/>
        <v>94.699999679311986</v>
      </c>
      <c r="AM74" s="3">
        <f t="shared" si="37"/>
        <v>94.7</v>
      </c>
      <c r="AN74" s="5">
        <f t="shared" si="38"/>
        <v>93.797071990000006</v>
      </c>
      <c r="AO74" s="5">
        <f t="shared" si="39"/>
        <v>-3.2068801658624579E-7</v>
      </c>
      <c r="AP74" s="5">
        <f t="shared" si="40"/>
        <v>-0.31546999900849293</v>
      </c>
      <c r="AQ74" s="5">
        <f t="shared" si="41"/>
        <v>-0.34985886307229813</v>
      </c>
      <c r="AR74" s="5">
        <f t="shared" si="42"/>
        <v>94.7</v>
      </c>
      <c r="AS74" s="5">
        <f t="shared" si="43"/>
        <v>93.797071990000006</v>
      </c>
    </row>
    <row r="75" spans="1:45" x14ac:dyDescent="0.25">
      <c r="A75" s="1">
        <v>45322.666666666664</v>
      </c>
      <c r="B75">
        <v>20240216</v>
      </c>
      <c r="C75">
        <v>4663.5</v>
      </c>
      <c r="D75">
        <v>4648.2287960000003</v>
      </c>
      <c r="E75" t="s">
        <v>42</v>
      </c>
      <c r="F75">
        <v>4750</v>
      </c>
      <c r="G75">
        <v>10</v>
      </c>
      <c r="H75" t="s">
        <v>41</v>
      </c>
      <c r="I75" s="3">
        <v>12.4</v>
      </c>
      <c r="J75" s="3">
        <v>12.8</v>
      </c>
      <c r="K75" s="3">
        <v>12.465173679999999</v>
      </c>
      <c r="L75" s="3">
        <v>0.64329366399999999</v>
      </c>
      <c r="M75" s="3">
        <v>12.48685</v>
      </c>
      <c r="N75" s="3">
        <v>0.19622900900000001</v>
      </c>
      <c r="O75" s="3">
        <v>2.5662014960000001</v>
      </c>
      <c r="P75" s="3">
        <v>2.3780250000000002E-3</v>
      </c>
      <c r="Q75" s="3">
        <v>-1.5944339759999999</v>
      </c>
      <c r="R75">
        <v>0</v>
      </c>
      <c r="S75" t="b">
        <v>1</v>
      </c>
      <c r="T75" s="1">
        <v>45322.666666666664</v>
      </c>
      <c r="U75" s="1">
        <v>45338.666666666664</v>
      </c>
      <c r="V75" s="3">
        <f t="shared" si="22"/>
        <v>4.3835616438356165E-2</v>
      </c>
      <c r="W75">
        <v>3.7900000000000003E-2</v>
      </c>
      <c r="X75" s="7">
        <v>0.10323300000000001</v>
      </c>
      <c r="Y75" s="5">
        <f t="shared" si="23"/>
        <v>-1.8378378861768681E-2</v>
      </c>
      <c r="Z75" s="5">
        <f t="shared" si="24"/>
        <v>4.3228526144500005E-2</v>
      </c>
      <c r="AA75" s="5">
        <f t="shared" si="25"/>
        <v>4.3835616438356165E-2</v>
      </c>
      <c r="AB75" s="5">
        <f t="shared" si="26"/>
        <v>2.1613848720302212E-2</v>
      </c>
      <c r="AC75" s="5">
        <f t="shared" si="27"/>
        <v>-0.76263279084672198</v>
      </c>
      <c r="AD75" s="5">
        <f t="shared" si="28"/>
        <v>0.22284121151711661</v>
      </c>
      <c r="AE75" s="5">
        <f t="shared" si="29"/>
        <v>0.77715878848288344</v>
      </c>
      <c r="AF75" s="5">
        <f t="shared" si="30"/>
        <v>3.2571473855500001E-2</v>
      </c>
      <c r="AG75" s="5">
        <f t="shared" si="31"/>
        <v>-0.78424663956702423</v>
      </c>
      <c r="AH75" s="5">
        <f t="shared" si="32"/>
        <v>0.21644770158284479</v>
      </c>
      <c r="AI75" s="5">
        <f t="shared" si="33"/>
        <v>0.78355229841715524</v>
      </c>
      <c r="AJ75" s="23">
        <f t="shared" si="34"/>
        <v>12.800087804859913</v>
      </c>
      <c r="AK75" s="20" t="str">
        <f t="shared" si="35"/>
        <v>Call</v>
      </c>
      <c r="AL75" s="20">
        <f t="shared" si="36"/>
        <v>12.800087804859913</v>
      </c>
      <c r="AM75" s="3">
        <f t="shared" si="37"/>
        <v>12.8</v>
      </c>
      <c r="AN75" s="5">
        <f t="shared" si="38"/>
        <v>12.48685</v>
      </c>
      <c r="AO75" s="5">
        <f t="shared" si="39"/>
        <v>8.7804859912665734E-5</v>
      </c>
      <c r="AP75" s="5">
        <f t="shared" si="40"/>
        <v>-0.76263279084672198</v>
      </c>
      <c r="AQ75" s="5">
        <f t="shared" si="41"/>
        <v>-0.78424663956702423</v>
      </c>
      <c r="AR75" s="5">
        <f t="shared" si="42"/>
        <v>12.8</v>
      </c>
      <c r="AS75" s="5">
        <f t="shared" si="43"/>
        <v>12.48685</v>
      </c>
    </row>
    <row r="76" spans="1:45" x14ac:dyDescent="0.25">
      <c r="A76" s="1">
        <v>45322.666666666664</v>
      </c>
      <c r="B76">
        <v>20240216</v>
      </c>
      <c r="C76">
        <v>4663.5</v>
      </c>
      <c r="D76">
        <v>4648.2287960000003</v>
      </c>
      <c r="E76" t="s">
        <v>40</v>
      </c>
      <c r="F76">
        <v>4750</v>
      </c>
      <c r="G76">
        <v>10</v>
      </c>
      <c r="H76" t="s">
        <v>41</v>
      </c>
      <c r="I76" s="3">
        <v>112.3</v>
      </c>
      <c r="J76" s="3">
        <v>114</v>
      </c>
      <c r="K76" s="3">
        <v>12.465173679999999</v>
      </c>
      <c r="L76" s="3">
        <v>0.64329366399999999</v>
      </c>
      <c r="M76" s="3">
        <v>113.1489894</v>
      </c>
      <c r="N76" s="3">
        <v>-0.79894474599999998</v>
      </c>
      <c r="O76" s="3">
        <v>2.5662014960000001</v>
      </c>
      <c r="P76" s="3">
        <v>2.3780250000000002E-3</v>
      </c>
      <c r="Q76" s="3">
        <v>-1.5944339759999999</v>
      </c>
      <c r="R76">
        <v>0</v>
      </c>
      <c r="S76" t="b">
        <v>1</v>
      </c>
      <c r="T76" s="1">
        <v>45322.666666666664</v>
      </c>
      <c r="U76" s="1">
        <v>45338.666666666664</v>
      </c>
      <c r="V76" s="3">
        <f t="shared" si="22"/>
        <v>4.3835616438356165E-2</v>
      </c>
      <c r="W76">
        <v>3.7900000000000003E-2</v>
      </c>
      <c r="X76" s="7">
        <v>0.17195099657991469</v>
      </c>
      <c r="Y76" s="5">
        <f t="shared" si="23"/>
        <v>-1.8378378861768681E-2</v>
      </c>
      <c r="Z76" s="5">
        <f t="shared" si="24"/>
        <v>5.2683572612412924E-2</v>
      </c>
      <c r="AA76" s="5">
        <f t="shared" si="25"/>
        <v>4.3835616438356165E-2</v>
      </c>
      <c r="AB76" s="5">
        <f t="shared" si="26"/>
        <v>3.6001306049262147E-2</v>
      </c>
      <c r="AC76" s="5">
        <f t="shared" si="27"/>
        <v>-0.44634386202936094</v>
      </c>
      <c r="AD76" s="5">
        <f t="shared" si="28"/>
        <v>0.32767443859930406</v>
      </c>
      <c r="AE76" s="5">
        <f t="shared" si="29"/>
        <v>0.67232556140069599</v>
      </c>
      <c r="AF76" s="5">
        <f t="shared" si="30"/>
        <v>2.3116427387587086E-2</v>
      </c>
      <c r="AG76" s="5">
        <f t="shared" si="31"/>
        <v>-0.4823451680786231</v>
      </c>
      <c r="AH76" s="5">
        <f t="shared" si="32"/>
        <v>0.31478038285405696</v>
      </c>
      <c r="AI76" s="5">
        <f t="shared" si="33"/>
        <v>0.68521961714594304</v>
      </c>
      <c r="AJ76" s="23" t="str">
        <f t="shared" si="34"/>
        <v>Put</v>
      </c>
      <c r="AK76" s="20">
        <f t="shared" si="35"/>
        <v>113.9999999209881</v>
      </c>
      <c r="AL76" s="20">
        <f t="shared" si="36"/>
        <v>113.9999999209881</v>
      </c>
      <c r="AM76" s="3">
        <f t="shared" si="37"/>
        <v>114</v>
      </c>
      <c r="AN76" s="5">
        <f t="shared" si="38"/>
        <v>113.1489894</v>
      </c>
      <c r="AO76" s="5">
        <f t="shared" si="39"/>
        <v>-7.9011897469172254E-8</v>
      </c>
      <c r="AP76" s="5">
        <f t="shared" si="40"/>
        <v>-0.44634386202936094</v>
      </c>
      <c r="AQ76" s="5">
        <f t="shared" si="41"/>
        <v>-0.4823451680786231</v>
      </c>
      <c r="AR76" s="5">
        <f t="shared" si="42"/>
        <v>114</v>
      </c>
      <c r="AS76" s="5">
        <f t="shared" si="43"/>
        <v>113.1489894</v>
      </c>
    </row>
    <row r="77" spans="1:45" x14ac:dyDescent="0.25">
      <c r="A77" s="1">
        <v>45322.666666666664</v>
      </c>
      <c r="B77">
        <v>20240216</v>
      </c>
      <c r="C77">
        <v>4663.5</v>
      </c>
      <c r="D77">
        <v>4648.2287960000003</v>
      </c>
      <c r="E77" t="s">
        <v>42</v>
      </c>
      <c r="F77">
        <v>4775</v>
      </c>
      <c r="G77">
        <v>10</v>
      </c>
      <c r="H77" t="s">
        <v>41</v>
      </c>
      <c r="I77" s="3">
        <v>8.3000000000000007</v>
      </c>
      <c r="J77" s="3">
        <v>8.6999999999999993</v>
      </c>
      <c r="K77" s="3">
        <v>12.50033672</v>
      </c>
      <c r="L77" s="3">
        <v>0.64329366399999999</v>
      </c>
      <c r="M77" s="3">
        <v>8.4825640789999994</v>
      </c>
      <c r="N77" s="3">
        <v>0.14385741599999999</v>
      </c>
      <c r="O77" s="3">
        <v>2.1028059020000001</v>
      </c>
      <c r="P77" s="3">
        <v>1.900821E-3</v>
      </c>
      <c r="Q77" s="3">
        <v>-1.2816754319999999</v>
      </c>
      <c r="R77">
        <v>0</v>
      </c>
      <c r="S77" t="b">
        <v>1</v>
      </c>
      <c r="T77" s="1">
        <v>45322.666666666664</v>
      </c>
      <c r="U77" s="1">
        <v>45338.666666666664</v>
      </c>
      <c r="V77" s="3">
        <f t="shared" si="22"/>
        <v>4.3835616438356165E-2</v>
      </c>
      <c r="W77">
        <v>3.7900000000000003E-2</v>
      </c>
      <c r="X77" s="7">
        <v>0.105214</v>
      </c>
      <c r="Y77" s="5">
        <f t="shared" si="23"/>
        <v>-2.3627734747912386E-2</v>
      </c>
      <c r="Z77" s="5">
        <f t="shared" si="24"/>
        <v>4.3434992898000006E-2</v>
      </c>
      <c r="AA77" s="5">
        <f t="shared" si="25"/>
        <v>4.3835616438356165E-2</v>
      </c>
      <c r="AB77" s="5">
        <f t="shared" si="26"/>
        <v>2.2028609836562699E-2</v>
      </c>
      <c r="AC77" s="5">
        <f t="shared" si="27"/>
        <v>-0.98616005369418547</v>
      </c>
      <c r="AD77" s="5">
        <f t="shared" si="28"/>
        <v>0.16202728905852959</v>
      </c>
      <c r="AE77" s="5">
        <f t="shared" si="29"/>
        <v>0.83797271094147041</v>
      </c>
      <c r="AF77" s="5">
        <f t="shared" si="30"/>
        <v>3.2365007102E-2</v>
      </c>
      <c r="AG77" s="5">
        <f t="shared" si="31"/>
        <v>-1.0081886635307482</v>
      </c>
      <c r="AH77" s="5">
        <f t="shared" si="32"/>
        <v>0.15668194957150244</v>
      </c>
      <c r="AI77" s="5">
        <f t="shared" si="33"/>
        <v>0.84331805042849761</v>
      </c>
      <c r="AJ77" s="23">
        <f t="shared" si="34"/>
        <v>8.6998857252690414</v>
      </c>
      <c r="AK77" s="20" t="str">
        <f t="shared" si="35"/>
        <v>Call</v>
      </c>
      <c r="AL77" s="20">
        <f t="shared" si="36"/>
        <v>8.6998857252690414</v>
      </c>
      <c r="AM77" s="3">
        <f t="shared" si="37"/>
        <v>8.6999999999999993</v>
      </c>
      <c r="AN77" s="5">
        <f t="shared" si="38"/>
        <v>8.4825640789999994</v>
      </c>
      <c r="AO77" s="5">
        <f t="shared" si="39"/>
        <v>-1.1427473095793061E-4</v>
      </c>
      <c r="AP77" s="5">
        <f t="shared" si="40"/>
        <v>-0.98616005369418547</v>
      </c>
      <c r="AQ77" s="5">
        <f t="shared" si="41"/>
        <v>-1.0081886635307482</v>
      </c>
      <c r="AR77" s="5">
        <f t="shared" si="42"/>
        <v>8.6999999999999993</v>
      </c>
      <c r="AS77" s="5">
        <f t="shared" si="43"/>
        <v>8.4825640789999994</v>
      </c>
    </row>
    <row r="78" spans="1:45" x14ac:dyDescent="0.25">
      <c r="A78" s="1">
        <v>45322.666666666664</v>
      </c>
      <c r="B78">
        <v>20240216</v>
      </c>
      <c r="C78">
        <v>4663.5</v>
      </c>
      <c r="D78">
        <v>4648.2287960000003</v>
      </c>
      <c r="E78" t="s">
        <v>40</v>
      </c>
      <c r="F78">
        <v>4775</v>
      </c>
      <c r="G78">
        <v>10</v>
      </c>
      <c r="H78" t="s">
        <v>41</v>
      </c>
      <c r="I78" s="3">
        <v>133.1</v>
      </c>
      <c r="J78" s="3">
        <v>134.9</v>
      </c>
      <c r="K78" s="3">
        <v>12.50033672</v>
      </c>
      <c r="L78" s="3">
        <v>0.64329366399999999</v>
      </c>
      <c r="M78" s="3">
        <v>134.1007821</v>
      </c>
      <c r="N78" s="3">
        <v>-0.85131633900000003</v>
      </c>
      <c r="O78" s="3">
        <v>2.1028059020000001</v>
      </c>
      <c r="P78" s="3">
        <v>1.900821E-3</v>
      </c>
      <c r="Q78" s="3">
        <v>-1.2816754319999999</v>
      </c>
      <c r="R78">
        <v>0</v>
      </c>
      <c r="S78" t="b">
        <v>1</v>
      </c>
      <c r="T78" s="1">
        <v>45322.666666666664</v>
      </c>
      <c r="U78" s="1">
        <v>45338.666666666664</v>
      </c>
      <c r="V78" s="3">
        <f t="shared" si="22"/>
        <v>4.3835616438356165E-2</v>
      </c>
      <c r="W78">
        <v>3.7900000000000003E-2</v>
      </c>
      <c r="X78" s="7">
        <v>0.18154511298635442</v>
      </c>
      <c r="Y78" s="5">
        <f t="shared" si="23"/>
        <v>-2.3627734747912386E-2</v>
      </c>
      <c r="Z78" s="5">
        <f t="shared" si="24"/>
        <v>5.43793140246141E-2</v>
      </c>
      <c r="AA78" s="5">
        <f t="shared" si="25"/>
        <v>4.3835616438356165E-2</v>
      </c>
      <c r="AB78" s="5">
        <f t="shared" si="26"/>
        <v>3.801002206656047E-2</v>
      </c>
      <c r="AC78" s="5">
        <f t="shared" si="27"/>
        <v>-0.55890480565750567</v>
      </c>
      <c r="AD78" s="5">
        <f t="shared" si="28"/>
        <v>0.28811334475490935</v>
      </c>
      <c r="AE78" s="5">
        <f t="shared" si="29"/>
        <v>0.71188665524509065</v>
      </c>
      <c r="AF78" s="5">
        <f t="shared" si="30"/>
        <v>2.1420685975385906E-2</v>
      </c>
      <c r="AG78" s="5">
        <f t="shared" si="31"/>
        <v>-0.59691482772406612</v>
      </c>
      <c r="AH78" s="5">
        <f t="shared" si="32"/>
        <v>0.27528212352913345</v>
      </c>
      <c r="AI78" s="5">
        <f t="shared" si="33"/>
        <v>0.72471787647086661</v>
      </c>
      <c r="AJ78" s="23" t="str">
        <f t="shared" si="34"/>
        <v>Put</v>
      </c>
      <c r="AK78" s="20">
        <f t="shared" si="35"/>
        <v>134.89999985993109</v>
      </c>
      <c r="AL78" s="20">
        <f t="shared" si="36"/>
        <v>134.89999985993109</v>
      </c>
      <c r="AM78" s="3">
        <f t="shared" si="37"/>
        <v>134.9</v>
      </c>
      <c r="AN78" s="5">
        <f t="shared" si="38"/>
        <v>134.1007821</v>
      </c>
      <c r="AO78" s="5">
        <f t="shared" si="39"/>
        <v>-1.4006892001816595E-7</v>
      </c>
      <c r="AP78" s="5">
        <f t="shared" si="40"/>
        <v>-0.55890480565750567</v>
      </c>
      <c r="AQ78" s="5">
        <f t="shared" si="41"/>
        <v>-0.59691482772406612</v>
      </c>
      <c r="AR78" s="5">
        <f t="shared" si="42"/>
        <v>134.9</v>
      </c>
      <c r="AS78" s="5">
        <f t="shared" si="43"/>
        <v>134.1007821</v>
      </c>
    </row>
    <row r="79" spans="1:45" x14ac:dyDescent="0.25">
      <c r="A79" s="1">
        <v>45322.666666666664</v>
      </c>
      <c r="B79">
        <v>20240216</v>
      </c>
      <c r="C79">
        <v>4663.5</v>
      </c>
      <c r="D79">
        <v>4648.2287960000003</v>
      </c>
      <c r="E79" t="s">
        <v>42</v>
      </c>
      <c r="F79">
        <v>4800</v>
      </c>
      <c r="G79">
        <v>10</v>
      </c>
      <c r="H79" t="s">
        <v>41</v>
      </c>
      <c r="I79" s="3">
        <v>5.5</v>
      </c>
      <c r="J79" s="3">
        <v>5.9</v>
      </c>
      <c r="K79" s="3">
        <v>12.599516339999999</v>
      </c>
      <c r="L79" s="3">
        <v>0.64329366399999999</v>
      </c>
      <c r="M79" s="3">
        <v>5.7154668969999998</v>
      </c>
      <c r="N79" s="3">
        <v>0.103407244</v>
      </c>
      <c r="O79" s="3">
        <v>1.6684081239999999</v>
      </c>
      <c r="P79" s="3">
        <v>1.4481800000000001E-3</v>
      </c>
      <c r="Q79" s="3">
        <v>-0.99202761800000006</v>
      </c>
      <c r="R79">
        <v>0</v>
      </c>
      <c r="S79" t="b">
        <v>1</v>
      </c>
      <c r="T79" s="1">
        <v>45322.666666666664</v>
      </c>
      <c r="U79" s="1">
        <v>45338.666666666664</v>
      </c>
      <c r="V79" s="3">
        <f t="shared" si="22"/>
        <v>4.3835616438356165E-2</v>
      </c>
      <c r="W79">
        <v>3.7900000000000003E-2</v>
      </c>
      <c r="X79" s="7">
        <v>0.10764700000000001</v>
      </c>
      <c r="Y79" s="5">
        <f t="shared" si="23"/>
        <v>-2.8849678729064108E-2</v>
      </c>
      <c r="Z79" s="5">
        <f t="shared" si="24"/>
        <v>4.3693938304500003E-2</v>
      </c>
      <c r="AA79" s="5">
        <f t="shared" si="25"/>
        <v>4.3835616438356165E-2</v>
      </c>
      <c r="AB79" s="5">
        <f t="shared" si="26"/>
        <v>2.2538005998027494E-2</v>
      </c>
      <c r="AC79" s="5">
        <f t="shared" si="27"/>
        <v>-1.1950625983161118</v>
      </c>
      <c r="AD79" s="5">
        <f t="shared" si="28"/>
        <v>0.11603128679462862</v>
      </c>
      <c r="AE79" s="5">
        <f t="shared" si="29"/>
        <v>0.8839687132053714</v>
      </c>
      <c r="AF79" s="5">
        <f t="shared" si="30"/>
        <v>3.2106061695500003E-2</v>
      </c>
      <c r="AG79" s="5">
        <f t="shared" si="31"/>
        <v>-1.2176006043141392</v>
      </c>
      <c r="AH79" s="5">
        <f t="shared" si="32"/>
        <v>0.11168789233978656</v>
      </c>
      <c r="AI79" s="5">
        <f t="shared" si="33"/>
        <v>0.8883121076602134</v>
      </c>
      <c r="AJ79" s="23">
        <f t="shared" si="34"/>
        <v>5.8999467968785666</v>
      </c>
      <c r="AK79" s="20" t="str">
        <f t="shared" si="35"/>
        <v>Call</v>
      </c>
      <c r="AL79" s="20">
        <f t="shared" si="36"/>
        <v>5.8999467968785666</v>
      </c>
      <c r="AM79" s="3">
        <f t="shared" si="37"/>
        <v>5.9</v>
      </c>
      <c r="AN79" s="5">
        <f t="shared" si="38"/>
        <v>5.7154668969999998</v>
      </c>
      <c r="AO79" s="5">
        <f t="shared" si="39"/>
        <v>-5.3203121433753608E-5</v>
      </c>
      <c r="AP79" s="5">
        <f t="shared" si="40"/>
        <v>-1.1950625983161118</v>
      </c>
      <c r="AQ79" s="5">
        <f t="shared" si="41"/>
        <v>-1.2176006043141392</v>
      </c>
      <c r="AR79" s="5">
        <f t="shared" si="42"/>
        <v>5.9</v>
      </c>
      <c r="AS79" s="5">
        <f t="shared" si="43"/>
        <v>5.7154668969999998</v>
      </c>
    </row>
    <row r="80" spans="1:45" x14ac:dyDescent="0.25">
      <c r="A80" s="1">
        <v>45322.666666666664</v>
      </c>
      <c r="B80">
        <v>20240216</v>
      </c>
      <c r="C80">
        <v>4663.5</v>
      </c>
      <c r="D80">
        <v>4648.2287960000003</v>
      </c>
      <c r="E80" t="s">
        <v>40</v>
      </c>
      <c r="F80">
        <v>4800</v>
      </c>
      <c r="G80">
        <v>10</v>
      </c>
      <c r="H80" t="s">
        <v>41</v>
      </c>
      <c r="I80" s="3">
        <v>155.1</v>
      </c>
      <c r="J80" s="3">
        <v>157.1</v>
      </c>
      <c r="K80" s="3">
        <v>12.599516339999999</v>
      </c>
      <c r="L80" s="3">
        <v>0.64329366399999999</v>
      </c>
      <c r="M80" s="3">
        <v>156.28976359999999</v>
      </c>
      <c r="N80" s="3">
        <v>-0.89176650999999996</v>
      </c>
      <c r="O80" s="3">
        <v>1.6684081239999999</v>
      </c>
      <c r="P80" s="3">
        <v>1.4481800000000001E-3</v>
      </c>
      <c r="Q80" s="3">
        <v>-0.99202761800000006</v>
      </c>
      <c r="R80">
        <v>0</v>
      </c>
      <c r="S80" t="b">
        <v>1</v>
      </c>
      <c r="T80" s="1">
        <v>45322.666666666664</v>
      </c>
      <c r="U80" s="1">
        <v>45338.666666666664</v>
      </c>
      <c r="V80" s="3">
        <f t="shared" si="22"/>
        <v>4.3835616438356165E-2</v>
      </c>
      <c r="W80">
        <v>3.7900000000000003E-2</v>
      </c>
      <c r="X80" s="7">
        <v>0.19300116185992069</v>
      </c>
      <c r="Y80" s="5">
        <f t="shared" si="23"/>
        <v>-2.8849678729064108E-2</v>
      </c>
      <c r="Z80" s="5">
        <f t="shared" si="24"/>
        <v>5.6524724239639654E-2</v>
      </c>
      <c r="AA80" s="5">
        <f t="shared" si="25"/>
        <v>4.3835616438356165E-2</v>
      </c>
      <c r="AB80" s="5">
        <f t="shared" si="26"/>
        <v>4.0408570082075372E-2</v>
      </c>
      <c r="AC80" s="5">
        <f t="shared" si="27"/>
        <v>-0.6526309281532725</v>
      </c>
      <c r="AD80" s="5">
        <f t="shared" si="28"/>
        <v>0.25699712084909077</v>
      </c>
      <c r="AE80" s="5">
        <f t="shared" si="29"/>
        <v>0.74300287915090923</v>
      </c>
      <c r="AF80" s="5">
        <f t="shared" si="30"/>
        <v>1.9275275760360349E-2</v>
      </c>
      <c r="AG80" s="5">
        <f t="shared" si="31"/>
        <v>-0.69303949823534794</v>
      </c>
      <c r="AH80" s="5">
        <f t="shared" si="32"/>
        <v>0.2441423821645341</v>
      </c>
      <c r="AI80" s="5">
        <f t="shared" si="33"/>
        <v>0.7558576178354659</v>
      </c>
      <c r="AJ80" s="23" t="str">
        <f t="shared" si="34"/>
        <v>Put</v>
      </c>
      <c r="AK80" s="20">
        <f t="shared" si="35"/>
        <v>157.09999946929611</v>
      </c>
      <c r="AL80" s="20">
        <f t="shared" si="36"/>
        <v>157.09999946929611</v>
      </c>
      <c r="AM80" s="3">
        <f t="shared" si="37"/>
        <v>157.1</v>
      </c>
      <c r="AN80" s="5">
        <f t="shared" si="38"/>
        <v>156.28976359999999</v>
      </c>
      <c r="AO80" s="5">
        <f t="shared" si="39"/>
        <v>-5.3070388617015851E-7</v>
      </c>
      <c r="AP80" s="5">
        <f t="shared" si="40"/>
        <v>-0.6526309281532725</v>
      </c>
      <c r="AQ80" s="5">
        <f t="shared" si="41"/>
        <v>-0.69303949823534794</v>
      </c>
      <c r="AR80" s="5">
        <f t="shared" si="42"/>
        <v>157.1</v>
      </c>
      <c r="AS80" s="5">
        <f t="shared" si="43"/>
        <v>156.28976359999999</v>
      </c>
    </row>
    <row r="81" spans="1:45" x14ac:dyDescent="0.25">
      <c r="A81" s="1">
        <v>45322.666666666664</v>
      </c>
      <c r="B81">
        <v>20240216</v>
      </c>
      <c r="C81">
        <v>4663.5</v>
      </c>
      <c r="D81">
        <v>4648.2287960000003</v>
      </c>
      <c r="E81" t="s">
        <v>42</v>
      </c>
      <c r="F81">
        <v>4825</v>
      </c>
      <c r="G81">
        <v>10</v>
      </c>
      <c r="H81" t="s">
        <v>41</v>
      </c>
      <c r="I81" s="3">
        <v>3.6</v>
      </c>
      <c r="J81" s="3">
        <v>4</v>
      </c>
      <c r="K81" s="3">
        <v>12.761714769999999</v>
      </c>
      <c r="L81" s="3">
        <v>0.64329366399999999</v>
      </c>
      <c r="M81" s="3">
        <v>3.853436276</v>
      </c>
      <c r="N81" s="3">
        <v>7.3507539999999996E-2</v>
      </c>
      <c r="O81" s="3">
        <v>1.2935305479999999</v>
      </c>
      <c r="P81" s="3">
        <v>1.0600609999999999E-3</v>
      </c>
      <c r="Q81" s="3">
        <v>-0.74497594199999995</v>
      </c>
      <c r="R81">
        <v>0</v>
      </c>
      <c r="S81" t="b">
        <v>1</v>
      </c>
      <c r="T81" s="1">
        <v>45322.666666666664</v>
      </c>
      <c r="U81" s="1">
        <v>45338.666666666664</v>
      </c>
      <c r="V81" s="3">
        <f t="shared" si="22"/>
        <v>4.3835616438356165E-2</v>
      </c>
      <c r="W81">
        <v>3.7900000000000003E-2</v>
      </c>
      <c r="X81" s="7">
        <v>0.110345</v>
      </c>
      <c r="Y81" s="5">
        <f t="shared" si="23"/>
        <v>-3.4044495606168082E-2</v>
      </c>
      <c r="Z81" s="5">
        <f t="shared" si="24"/>
        <v>4.3988009512500002E-2</v>
      </c>
      <c r="AA81" s="5">
        <f t="shared" si="25"/>
        <v>4.3835616438356165E-2</v>
      </c>
      <c r="AB81" s="5">
        <f t="shared" si="26"/>
        <v>2.3102885095286851E-2</v>
      </c>
      <c r="AC81" s="5">
        <f t="shared" si="27"/>
        <v>-1.3901404071755223</v>
      </c>
      <c r="AD81" s="5">
        <f t="shared" si="28"/>
        <v>8.2243122624044818E-2</v>
      </c>
      <c r="AE81" s="5">
        <f t="shared" si="29"/>
        <v>0.91775687737595524</v>
      </c>
      <c r="AF81" s="5">
        <f t="shared" si="30"/>
        <v>3.1811990487500004E-2</v>
      </c>
      <c r="AG81" s="5">
        <f t="shared" si="31"/>
        <v>-1.4132432922708091</v>
      </c>
      <c r="AH81" s="5">
        <f t="shared" si="32"/>
        <v>7.8792100669734827E-2</v>
      </c>
      <c r="AI81" s="5">
        <f t="shared" si="33"/>
        <v>0.92120789933026515</v>
      </c>
      <c r="AJ81" s="23">
        <f t="shared" si="34"/>
        <v>3.9999983642344432</v>
      </c>
      <c r="AK81" s="20" t="str">
        <f t="shared" si="35"/>
        <v>Call</v>
      </c>
      <c r="AL81" s="20">
        <f t="shared" si="36"/>
        <v>3.9999983642344432</v>
      </c>
      <c r="AM81" s="3">
        <f t="shared" si="37"/>
        <v>4</v>
      </c>
      <c r="AN81" s="5">
        <f t="shared" si="38"/>
        <v>3.853436276</v>
      </c>
      <c r="AO81" s="5">
        <f t="shared" si="39"/>
        <v>-1.6357655567844631E-6</v>
      </c>
      <c r="AP81" s="5">
        <f t="shared" si="40"/>
        <v>-1.3901404071755223</v>
      </c>
      <c r="AQ81" s="5">
        <f t="shared" si="41"/>
        <v>-1.4132432922708091</v>
      </c>
      <c r="AR81" s="5">
        <f t="shared" si="42"/>
        <v>4</v>
      </c>
      <c r="AS81" s="5">
        <f t="shared" si="43"/>
        <v>3.853436276</v>
      </c>
    </row>
    <row r="82" spans="1:45" x14ac:dyDescent="0.25">
      <c r="A82" s="1">
        <v>45322.666666666664</v>
      </c>
      <c r="B82">
        <v>20240216</v>
      </c>
      <c r="C82">
        <v>4663.5</v>
      </c>
      <c r="D82">
        <v>4648.2287960000003</v>
      </c>
      <c r="E82" t="s">
        <v>40</v>
      </c>
      <c r="F82">
        <v>4825</v>
      </c>
      <c r="G82">
        <v>10</v>
      </c>
      <c r="H82" t="s">
        <v>41</v>
      </c>
      <c r="I82" s="3">
        <v>178.2</v>
      </c>
      <c r="J82" s="3">
        <v>180.2</v>
      </c>
      <c r="K82" s="3">
        <v>12.761714769999999</v>
      </c>
      <c r="L82" s="3">
        <v>0.64329366399999999</v>
      </c>
      <c r="M82" s="3">
        <v>179.3838116</v>
      </c>
      <c r="N82" s="3">
        <v>-0.92166621500000001</v>
      </c>
      <c r="O82" s="3">
        <v>1.2935305479999999</v>
      </c>
      <c r="P82" s="3">
        <v>1.0600609999999999E-3</v>
      </c>
      <c r="Q82" s="3">
        <v>-0.74497594199999995</v>
      </c>
      <c r="R82">
        <v>0</v>
      </c>
      <c r="S82" t="b">
        <v>1</v>
      </c>
      <c r="T82" s="1">
        <v>45322.666666666664</v>
      </c>
      <c r="U82" s="1">
        <v>45338.666666666664</v>
      </c>
      <c r="V82" s="3">
        <f t="shared" si="22"/>
        <v>4.3835616438356165E-2</v>
      </c>
      <c r="W82">
        <v>3.7900000000000003E-2</v>
      </c>
      <c r="X82" s="7">
        <v>0.20579219531327586</v>
      </c>
      <c r="Y82" s="5">
        <f t="shared" si="23"/>
        <v>-3.4044495606168082E-2</v>
      </c>
      <c r="Z82" s="5">
        <f t="shared" si="24"/>
        <v>5.9075213825928743E-2</v>
      </c>
      <c r="AA82" s="5">
        <f t="shared" si="25"/>
        <v>4.3835616438356165E-2</v>
      </c>
      <c r="AB82" s="5">
        <f t="shared" si="26"/>
        <v>4.3086623243730499E-2</v>
      </c>
      <c r="AC82" s="5">
        <f t="shared" si="27"/>
        <v>-0.7300385786546354</v>
      </c>
      <c r="AD82" s="5">
        <f t="shared" si="28"/>
        <v>0.2326833017726273</v>
      </c>
      <c r="AE82" s="5">
        <f t="shared" si="29"/>
        <v>0.7673166982273727</v>
      </c>
      <c r="AF82" s="5">
        <f t="shared" si="30"/>
        <v>1.6724786174071263E-2</v>
      </c>
      <c r="AG82" s="5">
        <f t="shared" si="31"/>
        <v>-0.77312520189836598</v>
      </c>
      <c r="AH82" s="5">
        <f t="shared" si="32"/>
        <v>0.21972414373422619</v>
      </c>
      <c r="AI82" s="5">
        <f t="shared" si="33"/>
        <v>0.78027585626577378</v>
      </c>
      <c r="AJ82" s="23" t="str">
        <f t="shared" si="34"/>
        <v>Put</v>
      </c>
      <c r="AK82" s="20">
        <f t="shared" si="35"/>
        <v>180.20000039815341</v>
      </c>
      <c r="AL82" s="20">
        <f t="shared" si="36"/>
        <v>180.20000039815341</v>
      </c>
      <c r="AM82" s="3">
        <f t="shared" si="37"/>
        <v>180.2</v>
      </c>
      <c r="AN82" s="5">
        <f t="shared" si="38"/>
        <v>179.3838116</v>
      </c>
      <c r="AO82" s="5">
        <f t="shared" si="39"/>
        <v>3.9815341779103619E-7</v>
      </c>
      <c r="AP82" s="5">
        <f t="shared" si="40"/>
        <v>-0.7300385786546354</v>
      </c>
      <c r="AQ82" s="5">
        <f t="shared" si="41"/>
        <v>-0.77312520189836598</v>
      </c>
      <c r="AR82" s="5">
        <f t="shared" si="42"/>
        <v>180.2</v>
      </c>
      <c r="AS82" s="5">
        <f t="shared" si="43"/>
        <v>179.3838116</v>
      </c>
    </row>
    <row r="83" spans="1:45" x14ac:dyDescent="0.25">
      <c r="A83" s="1">
        <v>45322.666666666664</v>
      </c>
      <c r="B83">
        <v>20240216</v>
      </c>
      <c r="C83">
        <v>4663.5</v>
      </c>
      <c r="D83">
        <v>4648.2287960000003</v>
      </c>
      <c r="E83" t="s">
        <v>42</v>
      </c>
      <c r="F83">
        <v>4850</v>
      </c>
      <c r="G83">
        <v>10</v>
      </c>
      <c r="H83" t="s">
        <v>41</v>
      </c>
      <c r="I83" s="3">
        <v>2.4</v>
      </c>
      <c r="J83" s="3">
        <v>2.7</v>
      </c>
      <c r="K83" s="3">
        <v>12.987671560000001</v>
      </c>
      <c r="L83" s="3">
        <v>0.64329366399999999</v>
      </c>
      <c r="M83" s="3">
        <v>2.6252841039999999</v>
      </c>
      <c r="N83" s="3">
        <v>5.2178297999999998E-2</v>
      </c>
      <c r="O83" s="3">
        <v>0.99020850999999999</v>
      </c>
      <c r="P83" s="3">
        <v>7.5202299999999999E-4</v>
      </c>
      <c r="Q83" s="3">
        <v>-0.54737740000000001</v>
      </c>
      <c r="R83">
        <v>0</v>
      </c>
      <c r="S83" t="b">
        <v>1</v>
      </c>
      <c r="T83" s="1">
        <v>45322.666666666664</v>
      </c>
      <c r="U83" s="1">
        <v>45338.666666666664</v>
      </c>
      <c r="V83" s="3">
        <f t="shared" si="22"/>
        <v>4.3835616438356165E-2</v>
      </c>
      <c r="W83">
        <v>3.7900000000000003E-2</v>
      </c>
      <c r="X83" s="7">
        <v>0.1130645847033286</v>
      </c>
      <c r="Y83" s="5">
        <f t="shared" si="23"/>
        <v>-3.9212465764610731E-2</v>
      </c>
      <c r="Z83" s="5">
        <f t="shared" si="24"/>
        <v>4.4291800157068087E-2</v>
      </c>
      <c r="AA83" s="5">
        <f t="shared" si="25"/>
        <v>4.3835616438356165E-2</v>
      </c>
      <c r="AB83" s="5">
        <f t="shared" si="26"/>
        <v>2.3672283372579889E-2</v>
      </c>
      <c r="AC83" s="5">
        <f t="shared" si="27"/>
        <v>-1.5744534152008698</v>
      </c>
      <c r="AD83" s="5">
        <f t="shared" si="28"/>
        <v>5.7691331620509947E-2</v>
      </c>
      <c r="AE83" s="5">
        <f t="shared" si="29"/>
        <v>0.94230866837949001</v>
      </c>
      <c r="AF83" s="5">
        <f t="shared" si="30"/>
        <v>3.1508199842931919E-2</v>
      </c>
      <c r="AG83" s="5">
        <f t="shared" si="31"/>
        <v>-1.5981256985734498</v>
      </c>
      <c r="AH83" s="5">
        <f t="shared" si="32"/>
        <v>5.5007502700514521E-2</v>
      </c>
      <c r="AI83" s="5">
        <f t="shared" si="33"/>
        <v>0.94499249729948542</v>
      </c>
      <c r="AJ83" s="23">
        <f t="shared" si="34"/>
        <v>2.6999997984120228</v>
      </c>
      <c r="AK83" s="20" t="str">
        <f t="shared" si="35"/>
        <v>Call</v>
      </c>
      <c r="AL83" s="20">
        <f t="shared" si="36"/>
        <v>2.6999997984120228</v>
      </c>
      <c r="AM83" s="3">
        <f t="shared" si="37"/>
        <v>2.7</v>
      </c>
      <c r="AN83" s="5">
        <f t="shared" si="38"/>
        <v>2.6252841039999999</v>
      </c>
      <c r="AO83" s="5">
        <f t="shared" si="39"/>
        <v>-2.0158797742197976E-7</v>
      </c>
      <c r="AP83" s="5">
        <f t="shared" si="40"/>
        <v>-1.5744534152008698</v>
      </c>
      <c r="AQ83" s="5">
        <f t="shared" si="41"/>
        <v>-1.5981256985734498</v>
      </c>
      <c r="AR83" s="5">
        <f t="shared" si="42"/>
        <v>2.7</v>
      </c>
      <c r="AS83" s="5">
        <f t="shared" si="43"/>
        <v>2.6252841039999999</v>
      </c>
    </row>
    <row r="84" spans="1:45" x14ac:dyDescent="0.25">
      <c r="A84" s="1">
        <v>45322.666666666664</v>
      </c>
      <c r="B84">
        <v>20240216</v>
      </c>
      <c r="C84">
        <v>4663.5</v>
      </c>
      <c r="D84">
        <v>4648.2287960000003</v>
      </c>
      <c r="E84" t="s">
        <v>40</v>
      </c>
      <c r="F84">
        <v>4850</v>
      </c>
      <c r="G84">
        <v>10</v>
      </c>
      <c r="H84" t="s">
        <v>41</v>
      </c>
      <c r="I84" s="3">
        <v>201.9</v>
      </c>
      <c r="J84" s="3">
        <v>203.9</v>
      </c>
      <c r="K84" s="3">
        <v>12.987671560000001</v>
      </c>
      <c r="L84" s="3">
        <v>0.64329366399999999</v>
      </c>
      <c r="M84" s="3">
        <v>203.1117381</v>
      </c>
      <c r="N84" s="3">
        <v>-0.94299545699999998</v>
      </c>
      <c r="O84" s="3">
        <v>0.99020850999999999</v>
      </c>
      <c r="P84" s="3">
        <v>7.5202299999999999E-4</v>
      </c>
      <c r="Q84" s="3">
        <v>-0.54737740000000001</v>
      </c>
      <c r="R84">
        <v>0</v>
      </c>
      <c r="S84" t="b">
        <v>1</v>
      </c>
      <c r="T84" s="1">
        <v>45322.666666666664</v>
      </c>
      <c r="U84" s="1">
        <v>45338.666666666664</v>
      </c>
      <c r="V84" s="3">
        <f t="shared" si="22"/>
        <v>4.3835616438356165E-2</v>
      </c>
      <c r="W84">
        <v>3.7900000000000003E-2</v>
      </c>
      <c r="X84" s="7">
        <v>0.21945031476429627</v>
      </c>
      <c r="Y84" s="5">
        <f t="shared" si="23"/>
        <v>-3.9212465764610731E-2</v>
      </c>
      <c r="Z84" s="5">
        <f t="shared" si="24"/>
        <v>6.1979220325074358E-2</v>
      </c>
      <c r="AA84" s="5">
        <f t="shared" si="25"/>
        <v>4.3835616438356165E-2</v>
      </c>
      <c r="AB84" s="5">
        <f t="shared" si="26"/>
        <v>4.5946217827034015E-2</v>
      </c>
      <c r="AC84" s="5">
        <f t="shared" si="27"/>
        <v>-0.79431061274033743</v>
      </c>
      <c r="AD84" s="5">
        <f t="shared" si="28"/>
        <v>0.21350731361315173</v>
      </c>
      <c r="AE84" s="5">
        <f t="shared" si="29"/>
        <v>0.78649268638684822</v>
      </c>
      <c r="AF84" s="5">
        <f t="shared" si="30"/>
        <v>1.3820779674925648E-2</v>
      </c>
      <c r="AG84" s="5">
        <f t="shared" si="31"/>
        <v>-0.84025683056737144</v>
      </c>
      <c r="AH84" s="5">
        <f t="shared" si="32"/>
        <v>0.20038220016733471</v>
      </c>
      <c r="AI84" s="5">
        <f t="shared" si="33"/>
        <v>0.79961779983266523</v>
      </c>
      <c r="AJ84" s="23" t="str">
        <f t="shared" si="34"/>
        <v>Put</v>
      </c>
      <c r="AK84" s="20">
        <f t="shared" si="35"/>
        <v>203.89999995741164</v>
      </c>
      <c r="AL84" s="20">
        <f t="shared" si="36"/>
        <v>203.89999995741164</v>
      </c>
      <c r="AM84" s="3">
        <f t="shared" si="37"/>
        <v>203.9</v>
      </c>
      <c r="AN84" s="5">
        <f t="shared" si="38"/>
        <v>203.1117381</v>
      </c>
      <c r="AO84" s="5">
        <f t="shared" si="39"/>
        <v>-4.2588368387441733E-8</v>
      </c>
      <c r="AP84" s="5">
        <f t="shared" si="40"/>
        <v>-0.79431061274033743</v>
      </c>
      <c r="AQ84" s="5">
        <f t="shared" si="41"/>
        <v>-0.84025683056737144</v>
      </c>
      <c r="AR84" s="5">
        <f t="shared" si="42"/>
        <v>203.9</v>
      </c>
      <c r="AS84" s="5">
        <f t="shared" si="43"/>
        <v>203.1117381</v>
      </c>
    </row>
    <row r="85" spans="1:45" x14ac:dyDescent="0.25">
      <c r="A85" s="1">
        <v>45322.666666666664</v>
      </c>
      <c r="B85">
        <v>20240216</v>
      </c>
      <c r="C85">
        <v>4663.5</v>
      </c>
      <c r="D85">
        <v>4648.2287960000003</v>
      </c>
      <c r="E85" t="s">
        <v>42</v>
      </c>
      <c r="F85">
        <v>4875</v>
      </c>
      <c r="G85">
        <v>10</v>
      </c>
      <c r="H85" t="s">
        <v>41</v>
      </c>
      <c r="I85" s="3">
        <v>1.7</v>
      </c>
      <c r="J85" s="3">
        <v>1.9</v>
      </c>
      <c r="K85" s="3">
        <v>13.2781094</v>
      </c>
      <c r="L85" s="3">
        <v>0.64329366399999999</v>
      </c>
      <c r="M85" s="3">
        <v>1.824940851</v>
      </c>
      <c r="N85" s="3">
        <v>3.7352312999999998E-2</v>
      </c>
      <c r="O85" s="3">
        <v>0.75642984300000005</v>
      </c>
      <c r="P85" s="3">
        <v>5.2218000000000002E-4</v>
      </c>
      <c r="Q85" s="3">
        <v>-0.397270493</v>
      </c>
      <c r="R85">
        <v>0</v>
      </c>
      <c r="S85" t="b">
        <v>1</v>
      </c>
      <c r="T85" s="1">
        <v>45322.666666666664</v>
      </c>
      <c r="U85" s="1">
        <v>45338.666666666664</v>
      </c>
      <c r="V85" s="3">
        <f t="shared" si="22"/>
        <v>4.3835616438356165E-2</v>
      </c>
      <c r="W85">
        <v>3.7900000000000003E-2</v>
      </c>
      <c r="X85" s="7">
        <v>0.11675527886792067</v>
      </c>
      <c r="Y85" s="5">
        <f t="shared" si="23"/>
        <v>-4.4353865265029324E-2</v>
      </c>
      <c r="Z85" s="5">
        <f t="shared" si="24"/>
        <v>4.4715897571762961E-2</v>
      </c>
      <c r="AA85" s="5">
        <f t="shared" si="25"/>
        <v>4.3835616438356165E-2</v>
      </c>
      <c r="AB85" s="5">
        <f t="shared" si="26"/>
        <v>2.444500241926453E-2</v>
      </c>
      <c r="AC85" s="5">
        <f t="shared" si="27"/>
        <v>-1.7342488089494814</v>
      </c>
      <c r="AD85" s="5">
        <f t="shared" si="28"/>
        <v>4.1436973043867786E-2</v>
      </c>
      <c r="AE85" s="5">
        <f t="shared" si="29"/>
        <v>0.95856302695613227</v>
      </c>
      <c r="AF85" s="5">
        <f t="shared" si="30"/>
        <v>3.1084102428237042E-2</v>
      </c>
      <c r="AG85" s="5">
        <f t="shared" si="31"/>
        <v>-1.7586938113687458</v>
      </c>
      <c r="AH85" s="5">
        <f t="shared" si="32"/>
        <v>3.9314764555532837E-2</v>
      </c>
      <c r="AI85" s="5">
        <f t="shared" si="33"/>
        <v>0.96068523544446716</v>
      </c>
      <c r="AJ85" s="23">
        <f t="shared" si="34"/>
        <v>1.8999995032326922</v>
      </c>
      <c r="AK85" s="20" t="str">
        <f t="shared" si="35"/>
        <v>Call</v>
      </c>
      <c r="AL85" s="20">
        <f t="shared" si="36"/>
        <v>1.8999995032326922</v>
      </c>
      <c r="AM85" s="3">
        <f t="shared" si="37"/>
        <v>1.9</v>
      </c>
      <c r="AN85" s="5">
        <f t="shared" si="38"/>
        <v>1.824940851</v>
      </c>
      <c r="AO85" s="5">
        <f t="shared" si="39"/>
        <v>-4.9676730773384747E-7</v>
      </c>
      <c r="AP85" s="5">
        <f t="shared" si="40"/>
        <v>-1.7342488089494814</v>
      </c>
      <c r="AQ85" s="5">
        <f t="shared" si="41"/>
        <v>-1.7586938113687458</v>
      </c>
      <c r="AR85" s="5">
        <f t="shared" si="42"/>
        <v>1.9</v>
      </c>
      <c r="AS85" s="5">
        <f t="shared" si="43"/>
        <v>1.824940851</v>
      </c>
    </row>
    <row r="86" spans="1:45" x14ac:dyDescent="0.25">
      <c r="A86" s="1">
        <v>45322.666666666664</v>
      </c>
      <c r="B86">
        <v>20240216</v>
      </c>
      <c r="C86">
        <v>4663.5</v>
      </c>
      <c r="D86">
        <v>4648.2287960000003</v>
      </c>
      <c r="E86" t="s">
        <v>40</v>
      </c>
      <c r="F86">
        <v>4875</v>
      </c>
      <c r="G86">
        <v>10</v>
      </c>
      <c r="H86" t="s">
        <v>41</v>
      </c>
      <c r="I86" s="3">
        <v>226</v>
      </c>
      <c r="J86" s="3">
        <v>228.1</v>
      </c>
      <c r="K86" s="3">
        <v>13.2781094</v>
      </c>
      <c r="L86" s="3">
        <v>0.64329366399999999</v>
      </c>
      <c r="M86" s="3">
        <v>227.26747349999999</v>
      </c>
      <c r="N86" s="3">
        <v>-0.957821441</v>
      </c>
      <c r="O86" s="3">
        <v>0.75642984300000005</v>
      </c>
      <c r="P86" s="3">
        <v>5.2218000000000002E-4</v>
      </c>
      <c r="Q86" s="3">
        <v>-0.397270493</v>
      </c>
      <c r="R86">
        <v>0</v>
      </c>
      <c r="S86" t="b">
        <v>1</v>
      </c>
      <c r="T86" s="1">
        <v>45322.666666666664</v>
      </c>
      <c r="U86" s="1">
        <v>45338.666666666664</v>
      </c>
      <c r="V86" s="3">
        <f t="shared" si="22"/>
        <v>4.3835616438356165E-2</v>
      </c>
      <c r="W86">
        <v>3.7900000000000003E-2</v>
      </c>
      <c r="X86" s="7">
        <v>0.23400675408119451</v>
      </c>
      <c r="Y86" s="5">
        <f t="shared" si="23"/>
        <v>-4.4353865265029324E-2</v>
      </c>
      <c r="Z86" s="5">
        <f t="shared" si="24"/>
        <v>6.5279580477808324E-2</v>
      </c>
      <c r="AA86" s="5">
        <f t="shared" si="25"/>
        <v>4.3835616438356165E-2</v>
      </c>
      <c r="AB86" s="5">
        <f t="shared" si="26"/>
        <v>4.899389325351293E-2</v>
      </c>
      <c r="AC86" s="5">
        <f t="shared" si="27"/>
        <v>-0.84688706813419568</v>
      </c>
      <c r="AD86" s="5">
        <f t="shared" si="28"/>
        <v>0.19852903559499846</v>
      </c>
      <c r="AE86" s="5">
        <f t="shared" si="29"/>
        <v>0.80147096440500154</v>
      </c>
      <c r="AF86" s="5">
        <f t="shared" si="30"/>
        <v>1.0520419522191682E-2</v>
      </c>
      <c r="AG86" s="5">
        <f t="shared" si="31"/>
        <v>-0.89588096138770867</v>
      </c>
      <c r="AH86" s="5">
        <f t="shared" si="32"/>
        <v>0.18515817170852469</v>
      </c>
      <c r="AI86" s="5">
        <f t="shared" si="33"/>
        <v>0.81484182829147533</v>
      </c>
      <c r="AJ86" s="23" t="str">
        <f t="shared" si="34"/>
        <v>Put</v>
      </c>
      <c r="AK86" s="20">
        <f>IF(E86="Put",EXP(-W86*AA86)*F86*AI86-C86*AE86,"Call")</f>
        <v>228.10000045334209</v>
      </c>
      <c r="AL86" s="20">
        <f t="shared" si="36"/>
        <v>228.10000045334209</v>
      </c>
      <c r="AM86" s="3">
        <f t="shared" si="37"/>
        <v>228.1</v>
      </c>
      <c r="AN86" s="5">
        <f t="shared" si="38"/>
        <v>227.26747349999999</v>
      </c>
      <c r="AO86" s="5">
        <f t="shared" si="39"/>
        <v>4.5334209630709665E-7</v>
      </c>
      <c r="AP86" s="5">
        <f t="shared" si="40"/>
        <v>-0.84688706813419568</v>
      </c>
      <c r="AQ86" s="5">
        <f t="shared" si="41"/>
        <v>-0.89588096138770867</v>
      </c>
      <c r="AR86" s="5">
        <f t="shared" si="42"/>
        <v>228.1</v>
      </c>
      <c r="AS86" s="5">
        <f t="shared" si="43"/>
        <v>227.26747349999999</v>
      </c>
    </row>
    <row r="87" spans="1:45" x14ac:dyDescent="0.25">
      <c r="A87" s="1">
        <v>45322.666666666664</v>
      </c>
      <c r="B87">
        <v>20240216</v>
      </c>
      <c r="C87">
        <v>4663.5</v>
      </c>
      <c r="D87">
        <v>4648.2287960000003</v>
      </c>
      <c r="E87" t="s">
        <v>42</v>
      </c>
      <c r="F87">
        <v>4900</v>
      </c>
      <c r="G87">
        <v>10</v>
      </c>
      <c r="H87" t="s">
        <v>41</v>
      </c>
      <c r="I87" s="3">
        <v>1.2</v>
      </c>
      <c r="J87" s="3">
        <v>1.4</v>
      </c>
      <c r="K87" s="3">
        <v>13.632033740000001</v>
      </c>
      <c r="L87" s="3">
        <v>0.64329366399999999</v>
      </c>
      <c r="M87" s="3">
        <v>1.3049223510000001</v>
      </c>
      <c r="N87" s="3">
        <v>2.7202016999999998E-2</v>
      </c>
      <c r="O87" s="3">
        <v>0.58220022100000002</v>
      </c>
      <c r="P87" s="3">
        <v>3.58332E-4</v>
      </c>
      <c r="Q87" s="3">
        <v>-0.28734303100000003</v>
      </c>
      <c r="R87">
        <v>0</v>
      </c>
      <c r="S87" t="b">
        <v>1</v>
      </c>
      <c r="T87" s="1">
        <v>45322.666666666664</v>
      </c>
      <c r="U87" s="1">
        <v>45338.666666666664</v>
      </c>
      <c r="V87" s="3">
        <f t="shared" si="22"/>
        <v>4.3835616438356165E-2</v>
      </c>
      <c r="W87">
        <v>3.7900000000000003E-2</v>
      </c>
      <c r="X87" s="7">
        <v>0.12125258145798926</v>
      </c>
      <c r="Y87" s="5">
        <f t="shared" si="23"/>
        <v>-4.9468965931799752E-2</v>
      </c>
      <c r="Z87" s="5">
        <f t="shared" si="24"/>
        <v>4.5251094255113165E-2</v>
      </c>
      <c r="AA87" s="5">
        <f t="shared" si="25"/>
        <v>4.3835616438356165E-2</v>
      </c>
      <c r="AB87" s="5">
        <f t="shared" si="26"/>
        <v>2.5386600724372058E-2</v>
      </c>
      <c r="AC87" s="5">
        <f t="shared" si="27"/>
        <v>-1.870488957390386</v>
      </c>
      <c r="AD87" s="5">
        <f t="shared" si="28"/>
        <v>3.0707974516335126E-2</v>
      </c>
      <c r="AE87" s="5">
        <f t="shared" si="29"/>
        <v>0.96929202548366489</v>
      </c>
      <c r="AF87" s="5">
        <f t="shared" si="30"/>
        <v>3.0548905744886844E-2</v>
      </c>
      <c r="AG87" s="5">
        <f t="shared" si="31"/>
        <v>-1.8958755581147579</v>
      </c>
      <c r="AH87" s="5">
        <f t="shared" si="32"/>
        <v>2.898825081669652E-2</v>
      </c>
      <c r="AI87" s="5">
        <f t="shared" si="33"/>
        <v>0.97101174918330346</v>
      </c>
      <c r="AJ87" s="23">
        <f t="shared" si="34"/>
        <v>1.3999992452501715</v>
      </c>
      <c r="AK87" s="20" t="str">
        <f t="shared" si="35"/>
        <v>Call</v>
      </c>
      <c r="AL87" s="20">
        <f t="shared" si="36"/>
        <v>1.3999992452501715</v>
      </c>
      <c r="AM87" s="3">
        <f t="shared" si="37"/>
        <v>1.4</v>
      </c>
      <c r="AN87" s="5">
        <f t="shared" si="38"/>
        <v>1.3049223510000001</v>
      </c>
      <c r="AO87" s="5">
        <f t="shared" si="39"/>
        <v>-7.5474982841328142E-7</v>
      </c>
      <c r="AP87" s="5">
        <f t="shared" si="40"/>
        <v>-1.870488957390386</v>
      </c>
      <c r="AQ87" s="5">
        <f t="shared" si="41"/>
        <v>-1.8958755581147579</v>
      </c>
      <c r="AR87" s="5">
        <f t="shared" si="42"/>
        <v>1.4</v>
      </c>
      <c r="AS87" s="5">
        <f t="shared" si="43"/>
        <v>1.3049223510000001</v>
      </c>
    </row>
    <row r="88" spans="1:45" x14ac:dyDescent="0.25">
      <c r="A88" s="1">
        <v>45322.666666666664</v>
      </c>
      <c r="B88">
        <v>20240216</v>
      </c>
      <c r="C88">
        <v>4663.5</v>
      </c>
      <c r="D88">
        <v>4648.2287960000003</v>
      </c>
      <c r="E88" t="s">
        <v>40</v>
      </c>
      <c r="F88">
        <v>4900</v>
      </c>
      <c r="G88">
        <v>10</v>
      </c>
      <c r="H88" t="s">
        <v>41</v>
      </c>
      <c r="I88" s="3">
        <v>250.5</v>
      </c>
      <c r="J88" s="3">
        <v>252.5</v>
      </c>
      <c r="K88" s="3">
        <v>13.632033740000001</v>
      </c>
      <c r="L88" s="3">
        <v>0.64329366399999999</v>
      </c>
      <c r="M88" s="3">
        <v>251.70353370000001</v>
      </c>
      <c r="N88" s="3">
        <v>-0.96797173700000005</v>
      </c>
      <c r="O88" s="3">
        <v>0.58220022100000002</v>
      </c>
      <c r="P88" s="3">
        <v>3.58332E-4</v>
      </c>
      <c r="Q88" s="3">
        <v>-0.28734303100000003</v>
      </c>
      <c r="R88">
        <v>0</v>
      </c>
      <c r="S88" t="b">
        <v>1</v>
      </c>
      <c r="T88" s="1">
        <v>45322.666666666664</v>
      </c>
      <c r="U88" s="1">
        <v>45338.666666666664</v>
      </c>
      <c r="V88" s="3">
        <f t="shared" si="22"/>
        <v>4.3835616438356165E-2</v>
      </c>
      <c r="W88">
        <v>3.7900000000000003E-2</v>
      </c>
      <c r="X88" s="7">
        <v>0.24862668150500081</v>
      </c>
      <c r="Y88" s="5">
        <f t="shared" si="23"/>
        <v>-4.9468965931799752E-2</v>
      </c>
      <c r="Z88" s="5">
        <f t="shared" si="24"/>
        <v>6.8807613378094559E-2</v>
      </c>
      <c r="AA88" s="5">
        <f t="shared" si="25"/>
        <v>4.3835616438356165E-2</v>
      </c>
      <c r="AB88" s="5">
        <f t="shared" si="26"/>
        <v>5.20548611575741E-2</v>
      </c>
      <c r="AC88" s="5">
        <f t="shared" si="27"/>
        <v>-0.89238047611159399</v>
      </c>
      <c r="AD88" s="5">
        <f t="shared" si="28"/>
        <v>0.18609451613097155</v>
      </c>
      <c r="AE88" s="5">
        <f t="shared" si="29"/>
        <v>0.8139054838690285</v>
      </c>
      <c r="AF88" s="5">
        <f t="shared" si="30"/>
        <v>6.992386621905447E-3</v>
      </c>
      <c r="AG88" s="5">
        <f t="shared" si="31"/>
        <v>-0.94443533726916806</v>
      </c>
      <c r="AH88" s="5">
        <f t="shared" si="32"/>
        <v>0.17247361539256886</v>
      </c>
      <c r="AI88" s="5">
        <f t="shared" si="33"/>
        <v>0.82752638460743111</v>
      </c>
      <c r="AJ88" s="23" t="str">
        <f t="shared" si="34"/>
        <v>Put</v>
      </c>
      <c r="AK88" s="20">
        <f t="shared" si="35"/>
        <v>252.49999925106886</v>
      </c>
      <c r="AL88" s="20">
        <f t="shared" si="36"/>
        <v>252.49999925106886</v>
      </c>
      <c r="AM88" s="3">
        <f t="shared" si="37"/>
        <v>252.5</v>
      </c>
      <c r="AN88" s="5">
        <f t="shared" si="38"/>
        <v>251.70353370000001</v>
      </c>
      <c r="AO88" s="5">
        <f t="shared" si="39"/>
        <v>-7.4893114287988283E-7</v>
      </c>
      <c r="AP88" s="5">
        <f t="shared" si="40"/>
        <v>-0.89238047611159399</v>
      </c>
      <c r="AQ88" s="5">
        <f t="shared" si="41"/>
        <v>-0.94443533726916806</v>
      </c>
      <c r="AR88" s="5">
        <f t="shared" si="42"/>
        <v>252.5</v>
      </c>
      <c r="AS88" s="5">
        <f t="shared" si="43"/>
        <v>251.70353370000001</v>
      </c>
    </row>
    <row r="89" spans="1:45" x14ac:dyDescent="0.25">
      <c r="A89" s="1">
        <v>45322.666666666664</v>
      </c>
      <c r="B89">
        <v>20240216</v>
      </c>
      <c r="C89">
        <v>4663.5</v>
      </c>
      <c r="D89">
        <v>4648.2287960000003</v>
      </c>
      <c r="E89" t="s">
        <v>42</v>
      </c>
      <c r="F89">
        <v>4925</v>
      </c>
      <c r="G89">
        <v>10</v>
      </c>
      <c r="H89" t="s">
        <v>41</v>
      </c>
      <c r="I89" s="3">
        <v>0.9</v>
      </c>
      <c r="J89" s="3">
        <v>1.1000000000000001</v>
      </c>
      <c r="K89" s="3">
        <v>14.04846858</v>
      </c>
      <c r="L89" s="3">
        <v>0.64329366399999999</v>
      </c>
      <c r="M89" s="3">
        <v>0.96607538000000004</v>
      </c>
      <c r="N89" s="3">
        <v>2.0300450000000001E-2</v>
      </c>
      <c r="O89" s="3">
        <v>0.455188325</v>
      </c>
      <c r="P89" s="3">
        <v>2.4731299999999998E-4</v>
      </c>
      <c r="Q89" s="3">
        <v>-0.21061966700000001</v>
      </c>
      <c r="R89">
        <v>0</v>
      </c>
      <c r="S89" t="b">
        <v>1</v>
      </c>
      <c r="T89" s="1">
        <v>45322.666666666664</v>
      </c>
      <c r="U89" s="1">
        <v>45338.666666666664</v>
      </c>
      <c r="V89" s="3">
        <f t="shared" si="22"/>
        <v>4.3835616438356165E-2</v>
      </c>
      <c r="W89">
        <v>3.7900000000000003E-2</v>
      </c>
      <c r="X89" s="7">
        <v>0.12677764658716015</v>
      </c>
      <c r="Y89" s="5">
        <f t="shared" si="23"/>
        <v>-5.4558035439271062E-2</v>
      </c>
      <c r="Z89" s="5">
        <f t="shared" si="24"/>
        <v>4.5936285837089447E-2</v>
      </c>
      <c r="AA89" s="5">
        <f t="shared" si="25"/>
        <v>4.3835616438356165E-2</v>
      </c>
      <c r="AB89" s="5">
        <f t="shared" si="26"/>
        <v>2.6543381229362874E-2</v>
      </c>
      <c r="AC89" s="5">
        <f t="shared" si="27"/>
        <v>-1.9795665660932433</v>
      </c>
      <c r="AD89" s="5">
        <f t="shared" si="28"/>
        <v>2.3876126471719446E-2</v>
      </c>
      <c r="AE89" s="5">
        <f t="shared" si="29"/>
        <v>0.97612387352828056</v>
      </c>
      <c r="AF89" s="5">
        <f t="shared" si="30"/>
        <v>2.9863714162910563E-2</v>
      </c>
      <c r="AG89" s="5">
        <f t="shared" si="31"/>
        <v>-2.0061099473226061</v>
      </c>
      <c r="AH89" s="5">
        <f t="shared" si="32"/>
        <v>2.2422259397095603E-2</v>
      </c>
      <c r="AI89" s="5">
        <f t="shared" si="33"/>
        <v>0.97757774060290437</v>
      </c>
      <c r="AJ89" s="23">
        <f t="shared" si="34"/>
        <v>1.1000004085359336</v>
      </c>
      <c r="AK89" s="20" t="str">
        <f t="shared" si="35"/>
        <v>Call</v>
      </c>
      <c r="AL89" s="20">
        <f t="shared" si="36"/>
        <v>1.1000004085359336</v>
      </c>
      <c r="AM89" s="3">
        <f t="shared" si="37"/>
        <v>1.1000000000000001</v>
      </c>
      <c r="AN89" s="5">
        <f t="shared" si="38"/>
        <v>0.96607538000000004</v>
      </c>
      <c r="AO89" s="5">
        <f t="shared" si="39"/>
        <v>4.0853593352707662E-7</v>
      </c>
      <c r="AP89" s="5">
        <f t="shared" si="40"/>
        <v>-1.9795665660932433</v>
      </c>
      <c r="AQ89" s="5">
        <f t="shared" si="41"/>
        <v>-2.0061099473226061</v>
      </c>
      <c r="AR89" s="5">
        <f t="shared" si="42"/>
        <v>1.1000000000000001</v>
      </c>
      <c r="AS89" s="5">
        <f t="shared" si="43"/>
        <v>0.96607538000000004</v>
      </c>
    </row>
    <row r="90" spans="1:45" x14ac:dyDescent="0.25">
      <c r="A90" s="1">
        <v>45322.666666666664</v>
      </c>
      <c r="B90">
        <v>20240216</v>
      </c>
      <c r="C90">
        <v>4663.5</v>
      </c>
      <c r="D90">
        <v>4648.2287960000003</v>
      </c>
      <c r="E90" t="s">
        <v>40</v>
      </c>
      <c r="F90">
        <v>4925</v>
      </c>
      <c r="G90">
        <v>10</v>
      </c>
      <c r="H90" t="s">
        <v>41</v>
      </c>
      <c r="I90" s="3">
        <v>275.10000000000002</v>
      </c>
      <c r="J90" s="3">
        <v>277.10000000000002</v>
      </c>
      <c r="K90" s="3">
        <v>14.04846858</v>
      </c>
      <c r="L90" s="3">
        <v>0.64329366399999999</v>
      </c>
      <c r="M90" s="3">
        <v>276.32076530000001</v>
      </c>
      <c r="N90" s="3">
        <v>-0.97487330500000002</v>
      </c>
      <c r="O90" s="3">
        <v>0.455188325</v>
      </c>
      <c r="P90" s="3">
        <v>2.4731299999999998E-4</v>
      </c>
      <c r="Q90" s="3">
        <v>-0.21061966700000001</v>
      </c>
      <c r="R90">
        <v>0</v>
      </c>
      <c r="S90" t="b">
        <v>1</v>
      </c>
      <c r="T90" s="1">
        <v>45322.666666666664</v>
      </c>
      <c r="U90" s="1">
        <v>45338.666666666664</v>
      </c>
      <c r="V90" s="3">
        <f t="shared" si="22"/>
        <v>4.3835616438356165E-2</v>
      </c>
      <c r="W90">
        <v>3.7900000000000003E-2</v>
      </c>
      <c r="X90" s="7">
        <v>0.26346042073291653</v>
      </c>
      <c r="Y90" s="5">
        <f t="shared" si="23"/>
        <v>-5.4558035439271062E-2</v>
      </c>
      <c r="Z90" s="5">
        <f t="shared" si="24"/>
        <v>7.2605696646382695E-2</v>
      </c>
      <c r="AA90" s="5">
        <f t="shared" si="25"/>
        <v>4.3835616438356165E-2</v>
      </c>
      <c r="AB90" s="5">
        <f t="shared" si="26"/>
        <v>5.5160594746916494E-2</v>
      </c>
      <c r="AC90" s="5">
        <f t="shared" si="27"/>
        <v>-0.93137719427349885</v>
      </c>
      <c r="AD90" s="5">
        <f t="shared" si="28"/>
        <v>0.17582924177331383</v>
      </c>
      <c r="AE90" s="5">
        <f t="shared" si="29"/>
        <v>0.82417075822668617</v>
      </c>
      <c r="AF90" s="5">
        <f t="shared" si="30"/>
        <v>3.1943033536173046E-3</v>
      </c>
      <c r="AG90" s="5">
        <f t="shared" si="31"/>
        <v>-0.98653778902041545</v>
      </c>
      <c r="AH90" s="5">
        <f t="shared" si="32"/>
        <v>0.1619346405250025</v>
      </c>
      <c r="AI90" s="5">
        <f t="shared" si="33"/>
        <v>0.8380653594749975</v>
      </c>
      <c r="AJ90" s="23" t="str">
        <f t="shared" si="34"/>
        <v>Put</v>
      </c>
      <c r="AK90" s="20">
        <f t="shared" si="35"/>
        <v>277.10000007394228</v>
      </c>
      <c r="AL90" s="20">
        <f t="shared" si="36"/>
        <v>277.10000007394228</v>
      </c>
      <c r="AM90" s="3">
        <f t="shared" si="37"/>
        <v>277.10000000000002</v>
      </c>
      <c r="AN90" s="5">
        <f t="shared" si="38"/>
        <v>276.32076530000001</v>
      </c>
      <c r="AO90" s="5">
        <f t="shared" si="39"/>
        <v>7.3942260314652231E-8</v>
      </c>
      <c r="AP90" s="5">
        <f t="shared" si="40"/>
        <v>-0.93137719427349885</v>
      </c>
      <c r="AQ90" s="5">
        <f t="shared" si="41"/>
        <v>-0.98653778902041545</v>
      </c>
      <c r="AR90" s="5">
        <f t="shared" si="42"/>
        <v>277.10000000000002</v>
      </c>
      <c r="AS90" s="5">
        <f t="shared" si="43"/>
        <v>276.32076530000001</v>
      </c>
    </row>
    <row r="91" spans="1:45" x14ac:dyDescent="0.25">
      <c r="A91" s="1">
        <v>45322.666666666664</v>
      </c>
      <c r="B91">
        <v>20240216</v>
      </c>
      <c r="C91">
        <v>4663.5</v>
      </c>
      <c r="D91">
        <v>4648.2287960000003</v>
      </c>
      <c r="E91" t="s">
        <v>42</v>
      </c>
      <c r="F91">
        <v>4950</v>
      </c>
      <c r="G91">
        <v>10</v>
      </c>
      <c r="H91" t="s">
        <v>41</v>
      </c>
      <c r="I91" s="3">
        <v>0.6</v>
      </c>
      <c r="J91" s="3">
        <v>0.9</v>
      </c>
      <c r="K91" s="3">
        <v>14.506366140000001</v>
      </c>
      <c r="L91" s="3">
        <v>0.64329366399999999</v>
      </c>
      <c r="M91" s="3">
        <v>0.73666079699999998</v>
      </c>
      <c r="N91" s="3">
        <v>1.5492924E-2</v>
      </c>
      <c r="O91" s="3">
        <v>0.36147293200000002</v>
      </c>
      <c r="P91" s="3">
        <v>1.75563E-4</v>
      </c>
      <c r="Q91" s="3">
        <v>-0.15942010500000001</v>
      </c>
      <c r="R91">
        <v>0</v>
      </c>
      <c r="S91" t="b">
        <v>1</v>
      </c>
      <c r="T91" s="1">
        <v>45322.666666666664</v>
      </c>
      <c r="U91" s="1">
        <v>45338.666666666664</v>
      </c>
      <c r="V91" s="3">
        <f t="shared" si="22"/>
        <v>4.3835616438356165E-2</v>
      </c>
      <c r="W91">
        <v>3.7900000000000003E-2</v>
      </c>
      <c r="X91" s="7">
        <v>0.13278231187207049</v>
      </c>
      <c r="Y91" s="5">
        <f t="shared" si="23"/>
        <v>-5.9621337395817778E-2</v>
      </c>
      <c r="Z91" s="5">
        <f t="shared" si="24"/>
        <v>4.6715571173045894E-2</v>
      </c>
      <c r="AA91" s="5">
        <f t="shared" si="25"/>
        <v>4.3835616438356165E-2</v>
      </c>
      <c r="AB91" s="5">
        <f t="shared" si="26"/>
        <v>2.7800575412270493E-2</v>
      </c>
      <c r="AC91" s="5">
        <f t="shared" si="27"/>
        <v>-2.0709474779707571</v>
      </c>
      <c r="AD91" s="5">
        <f t="shared" si="28"/>
        <v>1.9181852294785581E-2</v>
      </c>
      <c r="AE91" s="5">
        <f t="shared" si="29"/>
        <v>0.98081814770521447</v>
      </c>
      <c r="AF91" s="5">
        <f t="shared" si="30"/>
        <v>2.9084428826954108E-2</v>
      </c>
      <c r="AG91" s="5">
        <f t="shared" si="31"/>
        <v>-2.0987480533830274</v>
      </c>
      <c r="AH91" s="5">
        <f t="shared" si="32"/>
        <v>1.7919558111583852E-2</v>
      </c>
      <c r="AI91" s="5">
        <f t="shared" si="33"/>
        <v>0.98208044188841614</v>
      </c>
      <c r="AJ91" s="23">
        <f t="shared" si="34"/>
        <v>0.89999969534569857</v>
      </c>
      <c r="AK91" s="20" t="str">
        <f t="shared" si="35"/>
        <v>Call</v>
      </c>
      <c r="AL91" s="20">
        <f t="shared" si="36"/>
        <v>0.89999969534569857</v>
      </c>
      <c r="AM91" s="3">
        <f t="shared" si="37"/>
        <v>0.9</v>
      </c>
      <c r="AN91" s="5">
        <f t="shared" si="38"/>
        <v>0.73666079699999998</v>
      </c>
      <c r="AO91" s="5">
        <f t="shared" si="39"/>
        <v>-3.0465430145287797E-7</v>
      </c>
      <c r="AP91" s="5">
        <f t="shared" si="40"/>
        <v>-2.0709474779707571</v>
      </c>
      <c r="AQ91" s="5">
        <f t="shared" si="41"/>
        <v>-2.0987480533830274</v>
      </c>
      <c r="AR91" s="5">
        <f t="shared" si="42"/>
        <v>0.9</v>
      </c>
      <c r="AS91" s="5">
        <f t="shared" si="43"/>
        <v>0.73666079699999998</v>
      </c>
    </row>
    <row r="92" spans="1:45" x14ac:dyDescent="0.25">
      <c r="A92" s="1">
        <v>45322.666666666664</v>
      </c>
      <c r="B92">
        <v>20240216</v>
      </c>
      <c r="C92">
        <v>4663.5</v>
      </c>
      <c r="D92">
        <v>4648.2287960000003</v>
      </c>
      <c r="E92" t="s">
        <v>40</v>
      </c>
      <c r="F92">
        <v>4950</v>
      </c>
      <c r="G92">
        <v>10</v>
      </c>
      <c r="H92" t="s">
        <v>41</v>
      </c>
      <c r="I92" s="3">
        <v>299.89999999999998</v>
      </c>
      <c r="J92" s="3">
        <v>302</v>
      </c>
      <c r="K92" s="3">
        <v>14.506366140000001</v>
      </c>
      <c r="L92" s="3">
        <v>0.64329366399999999</v>
      </c>
      <c r="M92" s="3">
        <v>301.0474294</v>
      </c>
      <c r="N92" s="3">
        <v>-0.97968083100000003</v>
      </c>
      <c r="O92" s="3">
        <v>0.36147293200000002</v>
      </c>
      <c r="P92" s="3">
        <v>1.75563E-4</v>
      </c>
      <c r="Q92" s="3">
        <v>-0.15942010500000001</v>
      </c>
      <c r="R92">
        <v>0</v>
      </c>
      <c r="S92" t="b">
        <v>1</v>
      </c>
      <c r="T92" s="1">
        <v>45322.666666666664</v>
      </c>
      <c r="U92" s="1">
        <v>45338.666666666664</v>
      </c>
      <c r="V92" s="3">
        <f t="shared" si="22"/>
        <v>4.3835616438356165E-2</v>
      </c>
      <c r="W92">
        <v>3.7900000000000003E-2</v>
      </c>
      <c r="X92" s="7">
        <v>0.27904785518104386</v>
      </c>
      <c r="Y92" s="5">
        <f t="shared" si="23"/>
        <v>-5.9621337395817778E-2</v>
      </c>
      <c r="Z92" s="5">
        <f t="shared" si="24"/>
        <v>7.6833852740570419E-2</v>
      </c>
      <c r="AA92" s="5">
        <f t="shared" si="25"/>
        <v>4.3835616438356165E-2</v>
      </c>
      <c r="AB92" s="5">
        <f t="shared" si="26"/>
        <v>5.8424129179699143E-2</v>
      </c>
      <c r="AC92" s="5">
        <f t="shared" si="27"/>
        <v>-0.96284324451938152</v>
      </c>
      <c r="AD92" s="5">
        <f t="shared" si="28"/>
        <v>0.16781309761271693</v>
      </c>
      <c r="AE92" s="5">
        <f t="shared" si="29"/>
        <v>0.8321869023872831</v>
      </c>
      <c r="AF92" s="5">
        <f t="shared" si="30"/>
        <v>-1.0338527405704123E-3</v>
      </c>
      <c r="AG92" s="5">
        <f t="shared" si="31"/>
        <v>-1.0212673736990807</v>
      </c>
      <c r="AH92" s="5">
        <f t="shared" si="32"/>
        <v>0.15356388982408156</v>
      </c>
      <c r="AI92" s="5">
        <f t="shared" si="33"/>
        <v>0.84643611017591847</v>
      </c>
      <c r="AJ92" s="23" t="str">
        <f t="shared" si="34"/>
        <v>Put</v>
      </c>
      <c r="AK92" s="20">
        <f t="shared" si="35"/>
        <v>302.00000015593241</v>
      </c>
      <c r="AL92" s="20">
        <f t="shared" si="36"/>
        <v>302.00000015593241</v>
      </c>
      <c r="AM92" s="3">
        <f t="shared" si="37"/>
        <v>302</v>
      </c>
      <c r="AN92" s="5">
        <f t="shared" si="38"/>
        <v>301.0474294</v>
      </c>
      <c r="AO92" s="5">
        <f t="shared" si="39"/>
        <v>1.5593241187161766E-7</v>
      </c>
      <c r="AP92" s="5">
        <f t="shared" si="40"/>
        <v>-0.96284324451938152</v>
      </c>
      <c r="AQ92" s="5">
        <f t="shared" si="41"/>
        <v>-1.0212673736990807</v>
      </c>
      <c r="AR92" s="5">
        <f t="shared" si="42"/>
        <v>302</v>
      </c>
      <c r="AS92" s="5">
        <f t="shared" si="43"/>
        <v>301.0474294</v>
      </c>
    </row>
    <row r="93" spans="1:45" x14ac:dyDescent="0.25">
      <c r="A93" s="1">
        <v>45322.666666666664</v>
      </c>
      <c r="B93">
        <v>20240216</v>
      </c>
      <c r="C93">
        <v>4663.5</v>
      </c>
      <c r="D93">
        <v>4648.2287960000003</v>
      </c>
      <c r="E93" t="s">
        <v>42</v>
      </c>
      <c r="F93">
        <v>4975</v>
      </c>
      <c r="G93">
        <v>10</v>
      </c>
      <c r="H93" t="s">
        <v>41</v>
      </c>
      <c r="I93" s="3">
        <v>0.5</v>
      </c>
      <c r="J93" s="3">
        <v>0.7</v>
      </c>
      <c r="K93" s="3">
        <v>14.985100689999999</v>
      </c>
      <c r="L93" s="3">
        <v>0.64329366399999999</v>
      </c>
      <c r="M93" s="3">
        <v>0.57396241800000003</v>
      </c>
      <c r="N93" s="3">
        <v>1.203038E-2</v>
      </c>
      <c r="O93" s="3">
        <v>0.29060911</v>
      </c>
      <c r="P93" s="3">
        <v>1.27546E-4</v>
      </c>
      <c r="Q93" s="3">
        <v>-0.12358854800000001</v>
      </c>
      <c r="R93">
        <v>0</v>
      </c>
      <c r="S93" t="b">
        <v>1</v>
      </c>
      <c r="T93" s="1">
        <v>45322.666666666664</v>
      </c>
      <c r="U93" s="1">
        <v>45338.666666666664</v>
      </c>
      <c r="V93" s="3">
        <f t="shared" si="22"/>
        <v>4.3835616438356165E-2</v>
      </c>
      <c r="W93">
        <v>3.7900000000000003E-2</v>
      </c>
      <c r="X93" s="7">
        <v>0.13750281326557465</v>
      </c>
      <c r="Y93" s="5">
        <f t="shared" si="23"/>
        <v>-6.465913142577491E-2</v>
      </c>
      <c r="Z93" s="5">
        <f t="shared" si="24"/>
        <v>4.7353511827973746E-2</v>
      </c>
      <c r="AA93" s="5">
        <f t="shared" si="25"/>
        <v>4.3835616438356165E-2</v>
      </c>
      <c r="AB93" s="5">
        <f t="shared" si="26"/>
        <v>2.8788904754662701E-2</v>
      </c>
      <c r="AC93" s="5">
        <f t="shared" si="27"/>
        <v>-2.173870856762572</v>
      </c>
      <c r="AD93" s="5">
        <f t="shared" si="28"/>
        <v>1.4857417635798962E-2</v>
      </c>
      <c r="AE93" s="5">
        <f t="shared" si="29"/>
        <v>0.98514258236420105</v>
      </c>
      <c r="AF93" s="5">
        <f t="shared" si="30"/>
        <v>2.8446488172026257E-2</v>
      </c>
      <c r="AG93" s="5">
        <f t="shared" si="31"/>
        <v>-2.2026597615172347</v>
      </c>
      <c r="AH93" s="5">
        <f t="shared" si="32"/>
        <v>1.3809369184637729E-2</v>
      </c>
      <c r="AI93" s="5">
        <f t="shared" si="33"/>
        <v>0.98619063081536229</v>
      </c>
      <c r="AJ93" s="23">
        <f t="shared" si="34"/>
        <v>0.69999947729819212</v>
      </c>
      <c r="AK93" s="20" t="str">
        <f t="shared" si="35"/>
        <v>Call</v>
      </c>
      <c r="AL93" s="20">
        <f t="shared" si="36"/>
        <v>0.69999947729819212</v>
      </c>
      <c r="AM93" s="3">
        <f t="shared" si="37"/>
        <v>0.7</v>
      </c>
      <c r="AN93" s="5">
        <f t="shared" si="38"/>
        <v>0.57396241800000003</v>
      </c>
      <c r="AO93" s="5">
        <f t="shared" si="39"/>
        <v>-5.2270180783686726E-7</v>
      </c>
      <c r="AP93" s="5">
        <f t="shared" si="40"/>
        <v>-2.173870856762572</v>
      </c>
      <c r="AQ93" s="5">
        <f t="shared" si="41"/>
        <v>-2.2026597615172347</v>
      </c>
      <c r="AR93" s="5">
        <f t="shared" si="42"/>
        <v>0.7</v>
      </c>
      <c r="AS93" s="5">
        <f t="shared" si="43"/>
        <v>0.57396241800000003</v>
      </c>
    </row>
    <row r="94" spans="1:45" x14ac:dyDescent="0.25">
      <c r="A94" s="1">
        <v>45322.666666666664</v>
      </c>
      <c r="B94">
        <v>20240216</v>
      </c>
      <c r="C94">
        <v>4663.5</v>
      </c>
      <c r="D94">
        <v>4648.2287960000003</v>
      </c>
      <c r="E94" t="s">
        <v>40</v>
      </c>
      <c r="F94">
        <v>4975</v>
      </c>
      <c r="G94">
        <v>10</v>
      </c>
      <c r="H94" t="s">
        <v>41</v>
      </c>
      <c r="I94" s="3">
        <v>324.7</v>
      </c>
      <c r="J94" s="3">
        <v>326.8</v>
      </c>
      <c r="K94" s="3">
        <v>14.985100689999999</v>
      </c>
      <c r="L94" s="3">
        <v>0.64329366399999999</v>
      </c>
      <c r="M94" s="3">
        <v>325.84080970000002</v>
      </c>
      <c r="N94" s="3">
        <v>-0.98314337500000004</v>
      </c>
      <c r="O94" s="3">
        <v>0.29060911</v>
      </c>
      <c r="P94" s="3">
        <v>1.27546E-4</v>
      </c>
      <c r="Q94" s="3">
        <v>-0.12358854800000001</v>
      </c>
      <c r="R94">
        <v>0</v>
      </c>
      <c r="S94" t="b">
        <v>1</v>
      </c>
      <c r="T94" s="1">
        <v>45322.666666666664</v>
      </c>
      <c r="U94" s="1">
        <v>45338.666666666664</v>
      </c>
      <c r="V94" s="3">
        <f t="shared" si="22"/>
        <v>4.3835616438356165E-2</v>
      </c>
      <c r="W94">
        <v>3.7900000000000003E-2</v>
      </c>
      <c r="X94" s="7">
        <v>0.29385742703117368</v>
      </c>
      <c r="Y94" s="5">
        <f t="shared" si="23"/>
        <v>-6.465913142577491E-2</v>
      </c>
      <c r="Z94" s="5">
        <f t="shared" si="24"/>
        <v>8.1076093710690786E-2</v>
      </c>
      <c r="AA94" s="5">
        <f t="shared" si="25"/>
        <v>4.3835616438356165E-2</v>
      </c>
      <c r="AB94" s="5">
        <f t="shared" si="26"/>
        <v>6.1524802855569764E-2</v>
      </c>
      <c r="AC94" s="5">
        <f t="shared" si="27"/>
        <v>-0.99317849133133929</v>
      </c>
      <c r="AD94" s="5">
        <f t="shared" si="28"/>
        <v>0.16031148909210999</v>
      </c>
      <c r="AE94" s="5">
        <f t="shared" si="29"/>
        <v>0.83968851090788998</v>
      </c>
      <c r="AF94" s="5">
        <f t="shared" si="30"/>
        <v>-5.2760937106907796E-3</v>
      </c>
      <c r="AG94" s="5">
        <f t="shared" si="31"/>
        <v>-1.054703294186909</v>
      </c>
      <c r="AH94" s="5">
        <f t="shared" si="32"/>
        <v>0.14578052236114353</v>
      </c>
      <c r="AI94" s="5">
        <f t="shared" si="33"/>
        <v>0.85421947763885653</v>
      </c>
      <c r="AJ94" s="23" t="str">
        <f t="shared" si="34"/>
        <v>Put</v>
      </c>
      <c r="AK94" s="20">
        <f t="shared" si="35"/>
        <v>326.79999922960451</v>
      </c>
      <c r="AL94" s="20">
        <f t="shared" si="36"/>
        <v>326.79999922960451</v>
      </c>
      <c r="AM94" s="3">
        <f t="shared" si="37"/>
        <v>326.8</v>
      </c>
      <c r="AN94" s="5">
        <f t="shared" si="38"/>
        <v>325.84080970000002</v>
      </c>
      <c r="AO94" s="5">
        <f t="shared" si="39"/>
        <v>-7.7039550205881824E-7</v>
      </c>
      <c r="AP94" s="5">
        <f t="shared" si="40"/>
        <v>-0.99317849133133929</v>
      </c>
      <c r="AQ94" s="5">
        <f t="shared" si="41"/>
        <v>-1.054703294186909</v>
      </c>
      <c r="AR94" s="5">
        <f t="shared" si="42"/>
        <v>326.8</v>
      </c>
      <c r="AS94" s="5">
        <f t="shared" si="43"/>
        <v>325.84080970000002</v>
      </c>
    </row>
    <row r="95" spans="1:45" x14ac:dyDescent="0.25">
      <c r="A95" s="1">
        <v>45322.666666666664</v>
      </c>
      <c r="B95">
        <v>20240216</v>
      </c>
      <c r="C95">
        <v>4663.5</v>
      </c>
      <c r="D95">
        <v>4648.2287960000003</v>
      </c>
      <c r="E95" t="s">
        <v>42</v>
      </c>
      <c r="F95">
        <v>5000</v>
      </c>
      <c r="G95">
        <v>10</v>
      </c>
      <c r="H95" t="s">
        <v>41</v>
      </c>
      <c r="I95" s="3">
        <v>0.4</v>
      </c>
      <c r="J95" s="3">
        <v>0.6</v>
      </c>
      <c r="K95" s="3">
        <v>15.48434761</v>
      </c>
      <c r="L95" s="3">
        <v>0.64329366399999999</v>
      </c>
      <c r="M95" s="3">
        <v>0.45720339999999998</v>
      </c>
      <c r="N95" s="3">
        <v>9.5149450000000003E-3</v>
      </c>
      <c r="O95" s="3">
        <v>0.23692753799999999</v>
      </c>
      <c r="P95" s="10">
        <v>9.35103803474015E-5</v>
      </c>
      <c r="Q95" s="3">
        <v>-9.6747348999999996E-2</v>
      </c>
      <c r="R95">
        <v>0</v>
      </c>
      <c r="S95" t="b">
        <v>1</v>
      </c>
      <c r="T95" s="1">
        <v>45322.666666666664</v>
      </c>
      <c r="U95" s="1">
        <v>45338.666666666664</v>
      </c>
      <c r="V95" s="3">
        <f t="shared" si="22"/>
        <v>4.3835616438356165E-2</v>
      </c>
      <c r="W95">
        <v>3.7900000000000003E-2</v>
      </c>
      <c r="X95" s="7">
        <v>0.14381905413174481</v>
      </c>
      <c r="Y95" s="5">
        <f t="shared" si="23"/>
        <v>-6.9671673249319263E-2</v>
      </c>
      <c r="Z95" s="5">
        <f t="shared" si="24"/>
        <v>4.8241960165674877E-2</v>
      </c>
      <c r="AA95" s="5">
        <f t="shared" si="25"/>
        <v>4.3835616438356165E-2</v>
      </c>
      <c r="AB95" s="5">
        <f t="shared" si="26"/>
        <v>3.011133338274086E-2</v>
      </c>
      <c r="AC95" s="5">
        <f t="shared" si="27"/>
        <v>-2.2435724226674201</v>
      </c>
      <c r="AD95" s="5">
        <f t="shared" si="28"/>
        <v>1.2429962633472168E-2</v>
      </c>
      <c r="AE95" s="5">
        <f t="shared" si="29"/>
        <v>0.98757003736652782</v>
      </c>
      <c r="AF95" s="5">
        <f t="shared" si="30"/>
        <v>2.7558039834325129E-2</v>
      </c>
      <c r="AG95" s="5">
        <f t="shared" si="31"/>
        <v>-2.2736837560501608</v>
      </c>
      <c r="AH95" s="5">
        <f t="shared" si="32"/>
        <v>1.1492503766629769E-2</v>
      </c>
      <c r="AI95" s="5">
        <f t="shared" si="33"/>
        <v>0.9885074962333702</v>
      </c>
      <c r="AJ95" s="23">
        <f t="shared" si="34"/>
        <v>0.59999914640904706</v>
      </c>
      <c r="AK95" s="20" t="str">
        <f t="shared" si="35"/>
        <v>Call</v>
      </c>
      <c r="AL95" s="20">
        <f t="shared" si="36"/>
        <v>0.59999914640904706</v>
      </c>
      <c r="AM95" s="3">
        <f t="shared" si="37"/>
        <v>0.6</v>
      </c>
      <c r="AN95" s="5">
        <f t="shared" si="38"/>
        <v>0.45720339999999998</v>
      </c>
      <c r="AO95" s="5">
        <f t="shared" si="39"/>
        <v>-8.5359095292059095E-7</v>
      </c>
      <c r="AP95" s="5">
        <f t="shared" si="40"/>
        <v>-2.2435724226674201</v>
      </c>
      <c r="AQ95" s="5">
        <f t="shared" si="41"/>
        <v>-2.2736837560501608</v>
      </c>
      <c r="AR95" s="5">
        <f t="shared" si="42"/>
        <v>0.6</v>
      </c>
      <c r="AS95" s="5">
        <f t="shared" si="43"/>
        <v>0.45720339999999998</v>
      </c>
    </row>
    <row r="96" spans="1:45" x14ac:dyDescent="0.25">
      <c r="A96" s="1">
        <v>45322.666666666664</v>
      </c>
      <c r="B96">
        <v>20240216</v>
      </c>
      <c r="C96">
        <v>4663.5</v>
      </c>
      <c r="D96">
        <v>4648.2287960000003</v>
      </c>
      <c r="E96" t="s">
        <v>40</v>
      </c>
      <c r="F96">
        <v>5000</v>
      </c>
      <c r="G96">
        <v>10</v>
      </c>
      <c r="H96" t="s">
        <v>41</v>
      </c>
      <c r="I96" s="3">
        <v>349.5</v>
      </c>
      <c r="J96" s="3">
        <v>351.5</v>
      </c>
      <c r="K96" s="3">
        <v>15.48434761</v>
      </c>
      <c r="L96" s="3">
        <v>0.64329366399999999</v>
      </c>
      <c r="M96" s="3">
        <v>350.68012929999998</v>
      </c>
      <c r="N96" s="3">
        <v>-0.98565881</v>
      </c>
      <c r="O96" s="3">
        <v>0.23692753799999999</v>
      </c>
      <c r="P96" s="10">
        <v>9.3510380347403899E-5</v>
      </c>
      <c r="Q96" s="3">
        <v>-9.6747348999999996E-2</v>
      </c>
      <c r="R96">
        <v>0</v>
      </c>
      <c r="S96" t="b">
        <v>1</v>
      </c>
      <c r="T96" s="1">
        <v>45322.666666666664</v>
      </c>
      <c r="U96" s="1">
        <v>45338.666666666664</v>
      </c>
      <c r="V96" s="3">
        <f t="shared" si="22"/>
        <v>4.3835616438356165E-2</v>
      </c>
      <c r="W96">
        <v>3.7900000000000003E-2</v>
      </c>
      <c r="X96" s="7">
        <v>0.30788399417231865</v>
      </c>
      <c r="Y96" s="5">
        <f t="shared" si="23"/>
        <v>-6.9671673249319263E-2</v>
      </c>
      <c r="Z96" s="5">
        <f t="shared" si="24"/>
        <v>8.5296276933750179E-2</v>
      </c>
      <c r="AA96" s="5">
        <f t="shared" si="25"/>
        <v>4.3835616438356165E-2</v>
      </c>
      <c r="AB96" s="5">
        <f t="shared" si="26"/>
        <v>6.4461539172967014E-2</v>
      </c>
      <c r="AC96" s="5">
        <f t="shared" si="27"/>
        <v>-1.0228216579364817</v>
      </c>
      <c r="AD96" s="5">
        <f t="shared" si="28"/>
        <v>0.15319608795414191</v>
      </c>
      <c r="AE96" s="5">
        <f t="shared" si="29"/>
        <v>0.84680391204585814</v>
      </c>
      <c r="AF96" s="5">
        <f t="shared" si="30"/>
        <v>-9.4962769337501723E-3</v>
      </c>
      <c r="AG96" s="5">
        <f t="shared" si="31"/>
        <v>-1.0872831971094488</v>
      </c>
      <c r="AH96" s="5">
        <f t="shared" si="32"/>
        <v>0.13845583608187909</v>
      </c>
      <c r="AI96" s="5">
        <f t="shared" si="33"/>
        <v>0.86154416391812094</v>
      </c>
      <c r="AJ96" s="23" t="str">
        <f t="shared" si="34"/>
        <v>Put</v>
      </c>
      <c r="AK96" s="20">
        <f t="shared" si="35"/>
        <v>351.49999990332481</v>
      </c>
      <c r="AL96" s="20">
        <f t="shared" si="36"/>
        <v>351.49999990332481</v>
      </c>
      <c r="AM96" s="3">
        <f t="shared" si="37"/>
        <v>351.5</v>
      </c>
      <c r="AN96" s="5">
        <f t="shared" si="38"/>
        <v>350.68012929999998</v>
      </c>
      <c r="AO96" s="5">
        <f t="shared" si="39"/>
        <v>-9.6675194072304294E-8</v>
      </c>
      <c r="AP96" s="5">
        <f t="shared" si="40"/>
        <v>-1.0228216579364817</v>
      </c>
      <c r="AQ96" s="5">
        <f t="shared" si="41"/>
        <v>-1.0872831971094488</v>
      </c>
      <c r="AR96" s="5">
        <f t="shared" si="42"/>
        <v>351.5</v>
      </c>
      <c r="AS96" s="5">
        <f t="shared" si="43"/>
        <v>350.68012929999998</v>
      </c>
    </row>
    <row r="97" spans="1:45" x14ac:dyDescent="0.25">
      <c r="A97" s="1">
        <v>45322.666666666664</v>
      </c>
      <c r="B97">
        <v>20240216</v>
      </c>
      <c r="C97">
        <v>4663.5</v>
      </c>
      <c r="D97">
        <v>4648.2287960000003</v>
      </c>
      <c r="E97" t="s">
        <v>42</v>
      </c>
      <c r="F97">
        <v>5025</v>
      </c>
      <c r="G97">
        <v>10</v>
      </c>
      <c r="H97" t="s">
        <v>41</v>
      </c>
      <c r="I97" s="3">
        <v>0.3</v>
      </c>
      <c r="J97" s="3">
        <v>0.5</v>
      </c>
      <c r="K97" s="3">
        <v>16.0037883</v>
      </c>
      <c r="L97" s="3">
        <v>0.64329366399999999</v>
      </c>
      <c r="M97" s="3">
        <v>0.37239962900000001</v>
      </c>
      <c r="N97" s="3">
        <v>7.6695230000000001E-3</v>
      </c>
      <c r="O97" s="3">
        <v>0.19609821399999999</v>
      </c>
      <c r="P97" s="10">
        <v>6.9250804236215495E-5</v>
      </c>
      <c r="Q97" s="3">
        <v>-7.6535662000000004E-2</v>
      </c>
      <c r="R97">
        <v>0</v>
      </c>
      <c r="S97" t="b">
        <v>1</v>
      </c>
      <c r="T97" s="1">
        <v>45322.666666666664</v>
      </c>
      <c r="U97" s="1">
        <v>45338.666666666664</v>
      </c>
      <c r="V97" s="3">
        <f t="shared" si="22"/>
        <v>4.3835616438356165E-2</v>
      </c>
      <c r="W97">
        <v>3.7900000000000003E-2</v>
      </c>
      <c r="X97" s="7">
        <v>0.14933888446629917</v>
      </c>
      <c r="Y97" s="5">
        <f t="shared" si="23"/>
        <v>-7.4659214760358264E-2</v>
      </c>
      <c r="Z97" s="5">
        <f t="shared" si="24"/>
        <v>4.9051051206819331E-2</v>
      </c>
      <c r="AA97" s="5">
        <f t="shared" si="25"/>
        <v>4.3835616438356165E-2</v>
      </c>
      <c r="AB97" s="5">
        <f t="shared" si="26"/>
        <v>3.1267017881038819E-2</v>
      </c>
      <c r="AC97" s="5">
        <f t="shared" si="27"/>
        <v>-2.3190261370506153</v>
      </c>
      <c r="AD97" s="5">
        <f t="shared" si="28"/>
        <v>1.0196809586060429E-2</v>
      </c>
      <c r="AE97" s="5">
        <f t="shared" si="29"/>
        <v>0.9898031904139396</v>
      </c>
      <c r="AF97" s="5">
        <f t="shared" si="30"/>
        <v>2.6748948793180675E-2</v>
      </c>
      <c r="AG97" s="5">
        <f t="shared" si="31"/>
        <v>-2.3502931549316539</v>
      </c>
      <c r="AH97" s="5">
        <f t="shared" si="32"/>
        <v>9.3793152353417852E-3</v>
      </c>
      <c r="AI97" s="5">
        <f t="shared" si="33"/>
        <v>0.99062068476465825</v>
      </c>
      <c r="AJ97" s="23">
        <f t="shared" si="34"/>
        <v>0.49999955974438137</v>
      </c>
      <c r="AK97" s="20" t="str">
        <f t="shared" si="35"/>
        <v>Call</v>
      </c>
      <c r="AL97" s="20">
        <f t="shared" si="36"/>
        <v>0.49999955974438137</v>
      </c>
      <c r="AM97" s="3">
        <f t="shared" si="37"/>
        <v>0.5</v>
      </c>
      <c r="AN97" s="5">
        <f t="shared" si="38"/>
        <v>0.37239962900000001</v>
      </c>
      <c r="AO97" s="5">
        <f t="shared" si="39"/>
        <v>-4.4025561862781615E-7</v>
      </c>
      <c r="AP97" s="5">
        <f t="shared" si="40"/>
        <v>-2.3190261370506153</v>
      </c>
      <c r="AQ97" s="5">
        <f t="shared" si="41"/>
        <v>-2.3502931549316539</v>
      </c>
      <c r="AR97" s="5">
        <f t="shared" si="42"/>
        <v>0.5</v>
      </c>
      <c r="AS97" s="5">
        <f t="shared" si="43"/>
        <v>0.37239962900000001</v>
      </c>
    </row>
    <row r="98" spans="1:45" x14ac:dyDescent="0.25">
      <c r="A98" s="1">
        <v>45322.666666666664</v>
      </c>
      <c r="B98">
        <v>20240216</v>
      </c>
      <c r="C98">
        <v>4663.5</v>
      </c>
      <c r="D98">
        <v>4648.2287960000003</v>
      </c>
      <c r="E98" t="s">
        <v>40</v>
      </c>
      <c r="F98">
        <v>5025</v>
      </c>
      <c r="G98">
        <v>10</v>
      </c>
      <c r="H98" t="s">
        <v>41</v>
      </c>
      <c r="I98" s="3">
        <v>374.4</v>
      </c>
      <c r="J98" s="3">
        <v>376.5</v>
      </c>
      <c r="K98" s="3">
        <v>16.0037883</v>
      </c>
      <c r="L98" s="3">
        <v>0.64329366399999999</v>
      </c>
      <c r="M98" s="3">
        <v>375.55140419999998</v>
      </c>
      <c r="N98" s="3">
        <v>-0.98750423099999995</v>
      </c>
      <c r="O98" s="3">
        <v>0.19609821399999999</v>
      </c>
      <c r="P98" s="10">
        <v>6.9250804236216105E-5</v>
      </c>
      <c r="Q98" s="3">
        <v>-7.6535662000000004E-2</v>
      </c>
      <c r="R98">
        <v>0</v>
      </c>
      <c r="S98" t="b">
        <v>1</v>
      </c>
      <c r="T98" s="1">
        <v>45322.666666666664</v>
      </c>
      <c r="U98" s="1">
        <v>45338.666666666664</v>
      </c>
      <c r="V98" s="3">
        <f t="shared" si="22"/>
        <v>4.3835616438356165E-2</v>
      </c>
      <c r="W98">
        <v>3.7900000000000003E-2</v>
      </c>
      <c r="X98" s="7">
        <v>0.32289664524748929</v>
      </c>
      <c r="Y98" s="5">
        <f t="shared" si="23"/>
        <v>-7.4659214760358264E-2</v>
      </c>
      <c r="Z98" s="5">
        <f t="shared" si="24"/>
        <v>9.0031121756041471E-2</v>
      </c>
      <c r="AA98" s="5">
        <f t="shared" si="25"/>
        <v>4.3835616438356165E-2</v>
      </c>
      <c r="AB98" s="5">
        <f t="shared" si="26"/>
        <v>6.7604731458664608E-2</v>
      </c>
      <c r="AC98" s="5">
        <f t="shared" si="27"/>
        <v>-1.0459718353112775</v>
      </c>
      <c r="AD98" s="5">
        <f t="shared" si="28"/>
        <v>0.14778701804808819</v>
      </c>
      <c r="AE98" s="5">
        <f t="shared" si="29"/>
        <v>0.85221298195191175</v>
      </c>
      <c r="AF98" s="5">
        <f t="shared" si="30"/>
        <v>-1.4231121756041472E-2</v>
      </c>
      <c r="AG98" s="5">
        <f t="shared" si="31"/>
        <v>-1.1135765667699424</v>
      </c>
      <c r="AH98" s="5">
        <f t="shared" si="32"/>
        <v>0.13273044199465234</v>
      </c>
      <c r="AI98" s="5">
        <f t="shared" si="33"/>
        <v>0.86726955800534766</v>
      </c>
      <c r="AJ98" s="23" t="str">
        <f t="shared" si="34"/>
        <v>Put</v>
      </c>
      <c r="AK98" s="20">
        <f t="shared" si="35"/>
        <v>376.49999980044413</v>
      </c>
      <c r="AL98" s="20">
        <f t="shared" si="36"/>
        <v>376.49999980044413</v>
      </c>
      <c r="AM98" s="3">
        <f t="shared" si="37"/>
        <v>376.5</v>
      </c>
      <c r="AN98" s="5">
        <f t="shared" si="38"/>
        <v>375.55140419999998</v>
      </c>
      <c r="AO98" s="5">
        <f t="shared" si="39"/>
        <v>-1.9955587049480528E-7</v>
      </c>
      <c r="AP98" s="5">
        <f t="shared" si="40"/>
        <v>-1.0459718353112775</v>
      </c>
      <c r="AQ98" s="5">
        <f t="shared" si="41"/>
        <v>-1.1135765667699424</v>
      </c>
      <c r="AR98" s="5">
        <f t="shared" si="42"/>
        <v>376.5</v>
      </c>
      <c r="AS98" s="5">
        <f t="shared" si="43"/>
        <v>375.55140419999998</v>
      </c>
    </row>
    <row r="99" spans="1:45" x14ac:dyDescent="0.25">
      <c r="A99" s="1">
        <v>45322.666666666664</v>
      </c>
      <c r="B99">
        <v>20240216</v>
      </c>
      <c r="C99">
        <v>4663.5</v>
      </c>
      <c r="D99">
        <v>4648.2287960000003</v>
      </c>
      <c r="E99" t="s">
        <v>42</v>
      </c>
      <c r="F99">
        <v>5050</v>
      </c>
      <c r="G99">
        <v>10</v>
      </c>
      <c r="H99" t="s">
        <v>41</v>
      </c>
      <c r="I99" s="3">
        <v>0.2</v>
      </c>
      <c r="J99" s="3">
        <v>0.4</v>
      </c>
      <c r="K99" s="3">
        <v>16.543110039999998</v>
      </c>
      <c r="L99" s="3">
        <v>0.64329366399999999</v>
      </c>
      <c r="M99" s="3">
        <v>0.310091905</v>
      </c>
      <c r="N99" s="3">
        <v>6.3015010000000002E-3</v>
      </c>
      <c r="O99" s="3">
        <v>0.16487549000000001</v>
      </c>
      <c r="P99" s="10">
        <v>5.18214146579074E-5</v>
      </c>
      <c r="Q99" s="3">
        <v>-6.1197968999999998E-2</v>
      </c>
      <c r="R99">
        <v>0</v>
      </c>
      <c r="S99" t="b">
        <v>1</v>
      </c>
      <c r="T99" s="1">
        <v>45322.666666666664</v>
      </c>
      <c r="U99" s="1">
        <v>45338.666666666664</v>
      </c>
      <c r="V99" s="3">
        <f t="shared" si="22"/>
        <v>4.3835616438356165E-2</v>
      </c>
      <c r="W99">
        <v>3.7900000000000003E-2</v>
      </c>
      <c r="X99" s="7">
        <v>0.15386786051098841</v>
      </c>
      <c r="Y99" s="5">
        <f t="shared" si="23"/>
        <v>-7.9622004102487265E-2</v>
      </c>
      <c r="Z99" s="5">
        <f t="shared" si="24"/>
        <v>4.9737659249114496E-2</v>
      </c>
      <c r="AA99" s="5">
        <f t="shared" si="25"/>
        <v>4.3835616438356165E-2</v>
      </c>
      <c r="AB99" s="5">
        <f t="shared" si="26"/>
        <v>3.2215247643690159E-2</v>
      </c>
      <c r="AC99" s="5">
        <f t="shared" si="27"/>
        <v>-2.4038841484513487</v>
      </c>
      <c r="AD99" s="5">
        <f t="shared" si="28"/>
        <v>8.1109566337887497E-3</v>
      </c>
      <c r="AE99" s="5">
        <f t="shared" si="29"/>
        <v>0.9918890433662112</v>
      </c>
      <c r="AF99" s="5">
        <f t="shared" si="30"/>
        <v>2.606234075088551E-2</v>
      </c>
      <c r="AG99" s="5">
        <f t="shared" si="31"/>
        <v>-2.4360993960950386</v>
      </c>
      <c r="AH99" s="5">
        <f t="shared" si="32"/>
        <v>7.4233021504204509E-3</v>
      </c>
      <c r="AI99" s="5">
        <f t="shared" si="33"/>
        <v>0.99257669784957958</v>
      </c>
      <c r="AJ99" s="23">
        <f t="shared" si="34"/>
        <v>0.39999958979610994</v>
      </c>
      <c r="AK99" s="20" t="str">
        <f t="shared" si="35"/>
        <v>Call</v>
      </c>
      <c r="AL99" s="20">
        <f t="shared" si="36"/>
        <v>0.39999958979610994</v>
      </c>
      <c r="AM99" s="3">
        <f t="shared" si="37"/>
        <v>0.4</v>
      </c>
      <c r="AN99" s="5">
        <f t="shared" si="38"/>
        <v>0.310091905</v>
      </c>
      <c r="AO99" s="5">
        <f t="shared" si="39"/>
        <v>-4.1020389007773161E-7</v>
      </c>
      <c r="AP99" s="5">
        <f t="shared" si="40"/>
        <v>-2.4038841484513487</v>
      </c>
      <c r="AQ99" s="5">
        <f t="shared" si="41"/>
        <v>-2.4360993960950386</v>
      </c>
      <c r="AR99" s="5">
        <f t="shared" si="42"/>
        <v>0.4</v>
      </c>
      <c r="AS99" s="5">
        <f t="shared" si="43"/>
        <v>0.310091905</v>
      </c>
    </row>
    <row r="100" spans="1:45" x14ac:dyDescent="0.25">
      <c r="A100" s="1">
        <v>45322.666666666664</v>
      </c>
      <c r="B100">
        <v>20240216</v>
      </c>
      <c r="C100">
        <v>4663.5</v>
      </c>
      <c r="D100">
        <v>4648.2287960000003</v>
      </c>
      <c r="E100" t="s">
        <v>40</v>
      </c>
      <c r="F100">
        <v>5050</v>
      </c>
      <c r="G100">
        <v>10</v>
      </c>
      <c r="H100" t="s">
        <v>41</v>
      </c>
      <c r="I100" s="3">
        <v>399.3</v>
      </c>
      <c r="J100" s="3">
        <v>401.4</v>
      </c>
      <c r="K100" s="3">
        <v>16.543110039999998</v>
      </c>
      <c r="L100" s="3">
        <v>0.64329366399999999</v>
      </c>
      <c r="M100" s="3">
        <v>400.44517509999997</v>
      </c>
      <c r="N100" s="3">
        <v>-0.98887225400000001</v>
      </c>
      <c r="O100" s="3">
        <v>0.16487549000000001</v>
      </c>
      <c r="P100" s="10">
        <v>5.1821414657903897E-5</v>
      </c>
      <c r="Q100" s="3">
        <v>-6.1197968999999998E-2</v>
      </c>
      <c r="R100">
        <v>0</v>
      </c>
      <c r="S100" t="b">
        <v>1</v>
      </c>
      <c r="T100" s="1">
        <v>45322.666666666664</v>
      </c>
      <c r="U100" s="1">
        <v>45338.666666666664</v>
      </c>
      <c r="V100" s="3">
        <f t="shared" si="22"/>
        <v>4.3835616438356165E-2</v>
      </c>
      <c r="W100">
        <v>3.7900000000000003E-2</v>
      </c>
      <c r="X100" s="7">
        <v>0.33719825805613912</v>
      </c>
      <c r="Y100" s="5">
        <f t="shared" si="23"/>
        <v>-7.9622004102487265E-2</v>
      </c>
      <c r="Z100" s="5">
        <f t="shared" si="24"/>
        <v>9.4751332618047301E-2</v>
      </c>
      <c r="AA100" s="5">
        <f t="shared" si="25"/>
        <v>4.3835616438356165E-2</v>
      </c>
      <c r="AB100" s="5">
        <f t="shared" si="26"/>
        <v>7.0599053968932582E-2</v>
      </c>
      <c r="AC100" s="5">
        <f t="shared" si="27"/>
        <v>-1.0689735454816391</v>
      </c>
      <c r="AD100" s="5">
        <f t="shared" si="28"/>
        <v>0.14254079501122527</v>
      </c>
      <c r="AE100" s="5">
        <f t="shared" si="29"/>
        <v>0.8574592049887747</v>
      </c>
      <c r="AF100" s="5">
        <f t="shared" si="30"/>
        <v>-1.8951332618047295E-2</v>
      </c>
      <c r="AG100" s="5">
        <f t="shared" si="31"/>
        <v>-1.1395725994505714</v>
      </c>
      <c r="AH100" s="5">
        <f t="shared" si="32"/>
        <v>0.12723220311707503</v>
      </c>
      <c r="AI100" s="5">
        <f t="shared" si="33"/>
        <v>0.87276779688292494</v>
      </c>
      <c r="AJ100" s="23" t="str">
        <f t="shared" si="34"/>
        <v>Put</v>
      </c>
      <c r="AK100" s="20">
        <f t="shared" si="35"/>
        <v>401.40000099394501</v>
      </c>
      <c r="AL100" s="20">
        <f t="shared" si="36"/>
        <v>401.40000099394501</v>
      </c>
      <c r="AM100" s="3">
        <f t="shared" si="37"/>
        <v>401.4</v>
      </c>
      <c r="AN100" s="5">
        <f t="shared" si="38"/>
        <v>400.44517509999997</v>
      </c>
      <c r="AO100" s="5">
        <f t="shared" si="39"/>
        <v>9.9394503649818944E-7</v>
      </c>
      <c r="AP100" s="5">
        <f t="shared" si="40"/>
        <v>-1.0689735454816391</v>
      </c>
      <c r="AQ100" s="5">
        <f t="shared" si="41"/>
        <v>-1.1395725994505714</v>
      </c>
      <c r="AR100" s="5">
        <f t="shared" si="42"/>
        <v>401.4</v>
      </c>
      <c r="AS100" s="5">
        <f t="shared" si="43"/>
        <v>400.44517509999997</v>
      </c>
    </row>
    <row r="101" spans="1:45" x14ac:dyDescent="0.25">
      <c r="A101" s="1">
        <v>45322.666666666664</v>
      </c>
      <c r="B101">
        <v>20240216</v>
      </c>
      <c r="C101">
        <v>4663.5</v>
      </c>
      <c r="D101">
        <v>4648.2287960000003</v>
      </c>
      <c r="E101" t="s">
        <v>42</v>
      </c>
      <c r="F101">
        <v>5075</v>
      </c>
      <c r="G101">
        <v>10</v>
      </c>
      <c r="H101" t="s">
        <v>41</v>
      </c>
      <c r="I101" s="3">
        <v>0.2</v>
      </c>
      <c r="J101" s="3">
        <v>0.4</v>
      </c>
      <c r="K101" s="3">
        <v>17.102005819999999</v>
      </c>
      <c r="L101" s="3">
        <v>0.64329366399999999</v>
      </c>
      <c r="M101" s="3">
        <v>0.26383611000000001</v>
      </c>
      <c r="N101" s="3">
        <v>5.2767589999999998E-3</v>
      </c>
      <c r="O101" s="3">
        <v>0.14085283300000001</v>
      </c>
      <c r="P101" s="10">
        <v>3.9176627024041798E-5</v>
      </c>
      <c r="Q101" s="3">
        <v>-4.9444109999999999E-2</v>
      </c>
      <c r="R101">
        <v>0</v>
      </c>
      <c r="S101" t="b">
        <v>1</v>
      </c>
      <c r="T101" s="1">
        <v>45322.666666666664</v>
      </c>
      <c r="U101" s="1">
        <v>45338.666666666664</v>
      </c>
      <c r="V101" s="3">
        <f t="shared" si="22"/>
        <v>4.3835616438356165E-2</v>
      </c>
      <c r="W101">
        <v>3.7900000000000003E-2</v>
      </c>
      <c r="X101" s="7">
        <v>0.16237203705404635</v>
      </c>
      <c r="Y101" s="5">
        <f t="shared" si="23"/>
        <v>-8.4560285743069855E-2</v>
      </c>
      <c r="Z101" s="5">
        <f t="shared" si="24"/>
        <v>5.1082339208540301E-2</v>
      </c>
      <c r="AA101" s="5">
        <f t="shared" si="25"/>
        <v>4.3835616438356165E-2</v>
      </c>
      <c r="AB101" s="5">
        <f t="shared" si="26"/>
        <v>3.3995763421516986E-2</v>
      </c>
      <c r="AC101" s="5">
        <f t="shared" si="27"/>
        <v>-2.4215093773316085</v>
      </c>
      <c r="AD101" s="5">
        <f t="shared" si="28"/>
        <v>7.7281011286769305E-3</v>
      </c>
      <c r="AE101" s="5">
        <f t="shared" si="29"/>
        <v>0.99227189887132305</v>
      </c>
      <c r="AF101" s="5">
        <f t="shared" si="30"/>
        <v>2.4717660791459702E-2</v>
      </c>
      <c r="AG101" s="5">
        <f t="shared" si="31"/>
        <v>-2.4555051407531261</v>
      </c>
      <c r="AH101" s="5">
        <f t="shared" si="32"/>
        <v>7.0343370260642218E-3</v>
      </c>
      <c r="AI101" s="5">
        <f t="shared" si="33"/>
        <v>0.99296566297393574</v>
      </c>
      <c r="AJ101" s="23">
        <f t="shared" si="34"/>
        <v>0.39999964130044674</v>
      </c>
      <c r="AK101" s="20" t="str">
        <f t="shared" si="35"/>
        <v>Call</v>
      </c>
      <c r="AL101" s="20">
        <f t="shared" si="36"/>
        <v>0.39999964130044674</v>
      </c>
      <c r="AM101" s="3">
        <f t="shared" si="37"/>
        <v>0.4</v>
      </c>
      <c r="AN101" s="5">
        <f t="shared" si="38"/>
        <v>0.26383611000000001</v>
      </c>
      <c r="AO101" s="5">
        <f t="shared" si="39"/>
        <v>-3.5869955328227121E-7</v>
      </c>
      <c r="AP101" s="5">
        <f t="shared" si="40"/>
        <v>-2.4215093773316085</v>
      </c>
      <c r="AQ101" s="5">
        <f t="shared" si="41"/>
        <v>-2.4555051407531261</v>
      </c>
      <c r="AR101" s="5">
        <f t="shared" si="42"/>
        <v>0.4</v>
      </c>
      <c r="AS101" s="5">
        <f t="shared" si="43"/>
        <v>0.26383611000000001</v>
      </c>
    </row>
    <row r="102" spans="1:45" x14ac:dyDescent="0.25">
      <c r="A102" s="1">
        <v>45322.666666666664</v>
      </c>
      <c r="B102">
        <v>20240216</v>
      </c>
      <c r="C102">
        <v>4663.5</v>
      </c>
      <c r="D102">
        <v>4648.2287960000003</v>
      </c>
      <c r="E102" t="s">
        <v>40</v>
      </c>
      <c r="F102">
        <v>5075</v>
      </c>
      <c r="G102">
        <v>10</v>
      </c>
      <c r="H102" t="s">
        <v>41</v>
      </c>
      <c r="I102" s="3">
        <v>424.2</v>
      </c>
      <c r="J102" s="3">
        <v>426.3</v>
      </c>
      <c r="K102" s="3">
        <v>17.102005819999999</v>
      </c>
      <c r="L102" s="3">
        <v>0.64329366399999999</v>
      </c>
      <c r="M102" s="3">
        <v>425.35499800000002</v>
      </c>
      <c r="N102" s="3">
        <v>-0.98989699499999995</v>
      </c>
      <c r="O102" s="3">
        <v>0.14085283300000001</v>
      </c>
      <c r="P102" s="10">
        <v>3.9176627024041899E-5</v>
      </c>
      <c r="Q102" s="3">
        <v>-4.9444109999999999E-2</v>
      </c>
      <c r="R102">
        <v>0</v>
      </c>
      <c r="S102" t="b">
        <v>1</v>
      </c>
      <c r="T102" s="1">
        <v>45322.666666666664</v>
      </c>
      <c r="U102" s="1">
        <v>45338.666666666664</v>
      </c>
      <c r="V102" s="3">
        <f t="shared" si="22"/>
        <v>4.3835616438356165E-2</v>
      </c>
      <c r="W102">
        <v>3.7900000000000003E-2</v>
      </c>
      <c r="X102" s="7">
        <v>0.3512405315439629</v>
      </c>
      <c r="Y102" s="5">
        <f t="shared" si="23"/>
        <v>-8.4560285743069855E-2</v>
      </c>
      <c r="Z102" s="5">
        <f t="shared" si="24"/>
        <v>9.9584955499642802E-2</v>
      </c>
      <c r="AA102" s="5">
        <f t="shared" si="25"/>
        <v>4.3835616438356165E-2</v>
      </c>
      <c r="AB102" s="5">
        <f t="shared" si="26"/>
        <v>7.3539078717365092E-2</v>
      </c>
      <c r="AC102" s="5">
        <f t="shared" si="27"/>
        <v>-1.0905075128690724</v>
      </c>
      <c r="AD102" s="5">
        <f t="shared" si="28"/>
        <v>0.13774482285037895</v>
      </c>
      <c r="AE102" s="5">
        <f t="shared" si="29"/>
        <v>0.86225517714962108</v>
      </c>
      <c r="AF102" s="5">
        <f t="shared" si="30"/>
        <v>-2.3784955499642796E-2</v>
      </c>
      <c r="AG102" s="5">
        <f t="shared" si="31"/>
        <v>-1.1640465915864375</v>
      </c>
      <c r="AH102" s="5">
        <f t="shared" si="32"/>
        <v>0.12220256541077484</v>
      </c>
      <c r="AI102" s="5">
        <f t="shared" si="33"/>
        <v>0.87779743458922521</v>
      </c>
      <c r="AJ102" s="23" t="str">
        <f t="shared" si="34"/>
        <v>Put</v>
      </c>
      <c r="AK102" s="20">
        <f t="shared" si="35"/>
        <v>426.29999950426691</v>
      </c>
      <c r="AL102" s="20">
        <f t="shared" si="36"/>
        <v>426.29999950426691</v>
      </c>
      <c r="AM102" s="3">
        <f t="shared" si="37"/>
        <v>426.3</v>
      </c>
      <c r="AN102" s="5">
        <f t="shared" si="38"/>
        <v>425.35499800000002</v>
      </c>
      <c r="AO102" s="5">
        <f t="shared" si="39"/>
        <v>-4.9573310434425366E-7</v>
      </c>
      <c r="AP102" s="5">
        <f t="shared" si="40"/>
        <v>-1.0905075128690724</v>
      </c>
      <c r="AQ102" s="5">
        <f t="shared" si="41"/>
        <v>-1.1640465915864375</v>
      </c>
      <c r="AR102" s="5">
        <f t="shared" si="42"/>
        <v>426.3</v>
      </c>
      <c r="AS102" s="5">
        <f t="shared" si="43"/>
        <v>425.35499800000002</v>
      </c>
    </row>
    <row r="103" spans="1:45" x14ac:dyDescent="0.25">
      <c r="A103" s="1">
        <v>45322.666666666664</v>
      </c>
      <c r="B103">
        <v>20240216</v>
      </c>
      <c r="C103">
        <v>4663.5</v>
      </c>
      <c r="D103">
        <v>4648.2287960000003</v>
      </c>
      <c r="E103" t="s">
        <v>42</v>
      </c>
      <c r="F103">
        <v>5100</v>
      </c>
      <c r="G103">
        <v>10</v>
      </c>
      <c r="H103" t="s">
        <v>41</v>
      </c>
      <c r="I103" s="3">
        <v>0.1</v>
      </c>
      <c r="J103" s="3">
        <v>0.3</v>
      </c>
      <c r="K103" s="3">
        <v>17.680174269999998</v>
      </c>
      <c r="L103" s="3">
        <v>0.64329366399999999</v>
      </c>
      <c r="M103" s="3">
        <v>0.229204353</v>
      </c>
      <c r="N103" s="3">
        <v>4.501499E-3</v>
      </c>
      <c r="O103" s="3">
        <v>0.122255369</v>
      </c>
      <c r="P103" s="10">
        <v>2.99002846375167E-5</v>
      </c>
      <c r="Q103" s="3">
        <v>-4.0331263999999999E-2</v>
      </c>
      <c r="R103">
        <v>0</v>
      </c>
      <c r="S103" t="b">
        <v>1</v>
      </c>
      <c r="T103" s="1">
        <v>45322.666666666664</v>
      </c>
      <c r="U103" s="1">
        <v>45338.666666666664</v>
      </c>
      <c r="V103" s="3">
        <f t="shared" si="22"/>
        <v>4.3835616438356165E-2</v>
      </c>
      <c r="W103">
        <v>3.7900000000000003E-2</v>
      </c>
      <c r="X103" s="7">
        <v>0.16524606770950218</v>
      </c>
      <c r="Y103" s="5">
        <f t="shared" si="23"/>
        <v>-8.947430054549893E-2</v>
      </c>
      <c r="Z103" s="5">
        <f t="shared" si="24"/>
        <v>5.1553131446726692E-2</v>
      </c>
      <c r="AA103" s="5">
        <f t="shared" si="25"/>
        <v>4.3835616438356165E-2</v>
      </c>
      <c r="AB103" s="5">
        <f t="shared" si="26"/>
        <v>3.459749798124627E-2</v>
      </c>
      <c r="AC103" s="5">
        <f t="shared" si="27"/>
        <v>-2.5208307634407277</v>
      </c>
      <c r="AD103" s="5">
        <f t="shared" si="28"/>
        <v>5.8539072929953391E-3</v>
      </c>
      <c r="AE103" s="5">
        <f t="shared" si="29"/>
        <v>0.99414609270700471</v>
      </c>
      <c r="AF103" s="5">
        <f t="shared" si="30"/>
        <v>2.4246868553273314E-2</v>
      </c>
      <c r="AG103" s="5">
        <f t="shared" si="31"/>
        <v>-2.5554282614219739</v>
      </c>
      <c r="AH103" s="5">
        <f t="shared" si="32"/>
        <v>5.302861017069462E-3</v>
      </c>
      <c r="AI103" s="5">
        <f t="shared" si="33"/>
        <v>0.99469713898293055</v>
      </c>
      <c r="AJ103" s="23">
        <f t="shared" si="34"/>
        <v>0.29999923968426501</v>
      </c>
      <c r="AK103" s="20" t="str">
        <f t="shared" si="35"/>
        <v>Call</v>
      </c>
      <c r="AL103" s="20">
        <f t="shared" si="36"/>
        <v>0.29999923968426501</v>
      </c>
      <c r="AM103" s="3">
        <f t="shared" si="37"/>
        <v>0.3</v>
      </c>
      <c r="AN103" s="5">
        <f t="shared" si="38"/>
        <v>0.229204353</v>
      </c>
      <c r="AO103" s="5">
        <f t="shared" si="39"/>
        <v>-7.6031573498225313E-7</v>
      </c>
      <c r="AP103" s="5">
        <f t="shared" si="40"/>
        <v>-2.5208307634407277</v>
      </c>
      <c r="AQ103" s="5">
        <f t="shared" si="41"/>
        <v>-2.5554282614219739</v>
      </c>
      <c r="AR103" s="5">
        <f t="shared" si="42"/>
        <v>0.3</v>
      </c>
      <c r="AS103" s="5">
        <f t="shared" si="43"/>
        <v>0.229204353</v>
      </c>
    </row>
    <row r="104" spans="1:45" x14ac:dyDescent="0.25">
      <c r="A104" s="1">
        <v>45322.666666666664</v>
      </c>
      <c r="B104">
        <v>20240216</v>
      </c>
      <c r="C104">
        <v>4663.5</v>
      </c>
      <c r="D104">
        <v>4648.2287960000003</v>
      </c>
      <c r="E104" t="s">
        <v>40</v>
      </c>
      <c r="F104">
        <v>5100</v>
      </c>
      <c r="G104">
        <v>10</v>
      </c>
      <c r="H104" t="s">
        <v>41</v>
      </c>
      <c r="I104" s="3">
        <v>449.1</v>
      </c>
      <c r="J104" s="3">
        <v>451.2</v>
      </c>
      <c r="K104" s="3">
        <v>17.680174269999998</v>
      </c>
      <c r="L104" s="3">
        <v>0.64329366399999999</v>
      </c>
      <c r="M104" s="3">
        <v>450.2764449</v>
      </c>
      <c r="N104" s="3">
        <v>-0.99067225599999997</v>
      </c>
      <c r="O104" s="3">
        <v>0.122255369</v>
      </c>
      <c r="P104" s="10">
        <v>2.99002846375196E-5</v>
      </c>
      <c r="Q104" s="3">
        <v>-4.0331263999999999E-2</v>
      </c>
      <c r="R104">
        <v>0</v>
      </c>
      <c r="S104" t="b">
        <v>1</v>
      </c>
      <c r="T104" s="1">
        <v>45322.666666666664</v>
      </c>
      <c r="U104" s="1">
        <v>45338.666666666664</v>
      </c>
      <c r="V104" s="3">
        <f t="shared" si="22"/>
        <v>4.3835616438356165E-2</v>
      </c>
      <c r="W104">
        <v>3.7900000000000003E-2</v>
      </c>
      <c r="X104" s="7">
        <v>0.36503989812776111</v>
      </c>
      <c r="Y104" s="5">
        <f t="shared" si="23"/>
        <v>-8.947430054549893E-2</v>
      </c>
      <c r="Z104" s="5">
        <f t="shared" si="24"/>
        <v>0.1045270636125631</v>
      </c>
      <c r="AA104" s="5">
        <f t="shared" si="25"/>
        <v>4.3835616438356165E-2</v>
      </c>
      <c r="AB104" s="5">
        <f t="shared" si="26"/>
        <v>7.6428246151985887E-2</v>
      </c>
      <c r="AC104" s="5">
        <f t="shared" si="27"/>
        <v>-1.110745000071484</v>
      </c>
      <c r="AD104" s="5">
        <f t="shared" si="28"/>
        <v>0.13333906326287734</v>
      </c>
      <c r="AE104" s="5">
        <f t="shared" si="29"/>
        <v>0.86666093673712263</v>
      </c>
      <c r="AF104" s="5">
        <f t="shared" si="30"/>
        <v>-2.8727063612563095E-2</v>
      </c>
      <c r="AG104" s="5">
        <f t="shared" si="31"/>
        <v>-1.1871732462234699</v>
      </c>
      <c r="AH104" s="5">
        <f t="shared" si="32"/>
        <v>0.11757964572334027</v>
      </c>
      <c r="AI104" s="5">
        <f t="shared" si="33"/>
        <v>0.88242035427665977</v>
      </c>
      <c r="AJ104" s="23" t="str">
        <f t="shared" si="34"/>
        <v>Put</v>
      </c>
      <c r="AK104" s="20">
        <f t="shared" si="35"/>
        <v>451.20000013707886</v>
      </c>
      <c r="AL104" s="20">
        <f t="shared" si="36"/>
        <v>451.20000013707886</v>
      </c>
      <c r="AM104" s="3">
        <f t="shared" si="37"/>
        <v>451.2</v>
      </c>
      <c r="AN104" s="5">
        <f t="shared" si="38"/>
        <v>450.2764449</v>
      </c>
      <c r="AO104" s="5">
        <f t="shared" si="39"/>
        <v>1.3707887092095916E-7</v>
      </c>
      <c r="AP104" s="5">
        <f t="shared" si="40"/>
        <v>-1.110745000071484</v>
      </c>
      <c r="AQ104" s="5">
        <f t="shared" si="41"/>
        <v>-1.1871732462234699</v>
      </c>
      <c r="AR104" s="5">
        <f t="shared" si="42"/>
        <v>451.2</v>
      </c>
      <c r="AS104" s="5">
        <f t="shared" si="43"/>
        <v>450.2764449</v>
      </c>
    </row>
    <row r="105" spans="1:45" x14ac:dyDescent="0.25">
      <c r="A105" s="1">
        <v>45322.666666666664</v>
      </c>
      <c r="B105">
        <v>20240216</v>
      </c>
      <c r="C105">
        <v>4663.5</v>
      </c>
      <c r="D105">
        <v>4648.2287960000003</v>
      </c>
      <c r="E105" t="s">
        <v>42</v>
      </c>
      <c r="F105">
        <v>5125</v>
      </c>
      <c r="G105">
        <v>10</v>
      </c>
      <c r="H105" t="s">
        <v>41</v>
      </c>
      <c r="I105" s="3">
        <v>0.1</v>
      </c>
      <c r="J105" s="3">
        <v>0.3</v>
      </c>
      <c r="K105" s="3">
        <v>18.27731949</v>
      </c>
      <c r="L105" s="3">
        <v>0.64329366399999999</v>
      </c>
      <c r="M105" s="3">
        <v>0.20312529100000001</v>
      </c>
      <c r="N105" s="3">
        <v>3.9097009999999998E-3</v>
      </c>
      <c r="O105" s="3">
        <v>0.10777587299999999</v>
      </c>
      <c r="P105" s="10">
        <v>2.6014505251736799E-5</v>
      </c>
      <c r="Q105" s="3">
        <v>-3.7500235999999999E-2</v>
      </c>
      <c r="R105">
        <v>0</v>
      </c>
      <c r="S105" t="b">
        <v>1</v>
      </c>
      <c r="T105" s="1">
        <v>45322.666666666664</v>
      </c>
      <c r="U105" s="1">
        <v>45338.666666666664</v>
      </c>
      <c r="V105" s="3">
        <f t="shared" si="22"/>
        <v>4.3835616438356165E-2</v>
      </c>
      <c r="W105">
        <v>3.7900000000000003E-2</v>
      </c>
      <c r="X105" s="7">
        <v>0.17335269647297499</v>
      </c>
      <c r="Y105" s="5">
        <f t="shared" si="23"/>
        <v>-9.4364285839690698E-2</v>
      </c>
      <c r="Z105" s="5">
        <f t="shared" si="24"/>
        <v>5.2925578687225701E-2</v>
      </c>
      <c r="AA105" s="5">
        <f t="shared" si="25"/>
        <v>4.3835616438356165E-2</v>
      </c>
      <c r="AB105" s="5">
        <f t="shared" si="26"/>
        <v>3.629477935179011E-2</v>
      </c>
      <c r="AC105" s="5">
        <f t="shared" si="27"/>
        <v>-2.5360192875243279</v>
      </c>
      <c r="AD105" s="5">
        <f t="shared" si="28"/>
        <v>5.6060279331306166E-3</v>
      </c>
      <c r="AE105" s="5">
        <f t="shared" si="29"/>
        <v>0.99439397206686941</v>
      </c>
      <c r="AF105" s="5">
        <f t="shared" si="30"/>
        <v>2.2874421312774305E-2</v>
      </c>
      <c r="AG105" s="5">
        <f t="shared" si="31"/>
        <v>-2.572314066876118</v>
      </c>
      <c r="AH105" s="5">
        <f t="shared" si="32"/>
        <v>5.0510601309925185E-3</v>
      </c>
      <c r="AI105" s="5">
        <f t="shared" si="33"/>
        <v>0.99494893986900745</v>
      </c>
      <c r="AJ105" s="23">
        <f t="shared" si="34"/>
        <v>0.29999974430648635</v>
      </c>
      <c r="AK105" s="20" t="str">
        <f t="shared" si="35"/>
        <v>Call</v>
      </c>
      <c r="AL105" s="20">
        <f t="shared" si="36"/>
        <v>0.29999974430648635</v>
      </c>
      <c r="AM105" s="3">
        <f t="shared" si="37"/>
        <v>0.3</v>
      </c>
      <c r="AN105" s="5">
        <f t="shared" si="38"/>
        <v>0.20312529100000001</v>
      </c>
      <c r="AO105" s="5">
        <f t="shared" si="39"/>
        <v>-2.5569351363996518E-7</v>
      </c>
      <c r="AP105" s="5">
        <f t="shared" si="40"/>
        <v>-2.5360192875243279</v>
      </c>
      <c r="AQ105" s="5">
        <f t="shared" si="41"/>
        <v>-2.572314066876118</v>
      </c>
      <c r="AR105" s="5">
        <f t="shared" si="42"/>
        <v>0.3</v>
      </c>
      <c r="AS105" s="5">
        <f t="shared" si="43"/>
        <v>0.20312529100000001</v>
      </c>
    </row>
    <row r="106" spans="1:45" x14ac:dyDescent="0.25">
      <c r="A106" s="1">
        <v>45322.666666666664</v>
      </c>
      <c r="B106">
        <v>20240216</v>
      </c>
      <c r="C106">
        <v>4663.5</v>
      </c>
      <c r="D106">
        <v>4648.2287960000003</v>
      </c>
      <c r="E106" t="s">
        <v>40</v>
      </c>
      <c r="F106">
        <v>5125</v>
      </c>
      <c r="G106">
        <v>10</v>
      </c>
      <c r="H106" t="s">
        <v>41</v>
      </c>
      <c r="I106" s="3">
        <v>474</v>
      </c>
      <c r="J106" s="3">
        <v>476.1</v>
      </c>
      <c r="K106" s="3">
        <v>18.27731949</v>
      </c>
      <c r="L106" s="3">
        <v>0.64329366399999999</v>
      </c>
      <c r="M106" s="3">
        <v>475.20644449999998</v>
      </c>
      <c r="N106" s="3">
        <v>-0.99126405399999995</v>
      </c>
      <c r="O106" s="3">
        <v>0.10777587299999999</v>
      </c>
      <c r="P106" s="10">
        <v>2.6014505251738399E-5</v>
      </c>
      <c r="Q106" s="3">
        <v>-3.7500235999999999E-2</v>
      </c>
      <c r="R106">
        <v>0</v>
      </c>
      <c r="S106" t="b">
        <v>1</v>
      </c>
      <c r="T106" s="1">
        <v>45322.666666666664</v>
      </c>
      <c r="U106" s="1">
        <v>45338.666666666664</v>
      </c>
      <c r="V106" s="3">
        <f t="shared" si="22"/>
        <v>4.3835616438356165E-2</v>
      </c>
      <c r="W106">
        <v>3.7900000000000003E-2</v>
      </c>
      <c r="X106" s="7">
        <v>0.37861071390480516</v>
      </c>
      <c r="Y106" s="5">
        <f t="shared" si="23"/>
        <v>-9.4364285839690698E-2</v>
      </c>
      <c r="Z106" s="5">
        <f t="shared" si="24"/>
        <v>0.10957303634175311</v>
      </c>
      <c r="AA106" s="5">
        <f t="shared" si="25"/>
        <v>4.3835616438356165E-2</v>
      </c>
      <c r="AB106" s="5">
        <f t="shared" si="26"/>
        <v>7.9269562002693708E-2</v>
      </c>
      <c r="AC106" s="5">
        <f t="shared" si="27"/>
        <v>-1.1298294324318849</v>
      </c>
      <c r="AD106" s="5">
        <f t="shared" si="28"/>
        <v>0.12927405182545101</v>
      </c>
      <c r="AE106" s="5">
        <f t="shared" si="29"/>
        <v>0.87072594817454896</v>
      </c>
      <c r="AF106" s="5">
        <f t="shared" si="30"/>
        <v>-3.3773036341753104E-2</v>
      </c>
      <c r="AG106" s="5">
        <f t="shared" si="31"/>
        <v>-1.2090989944345787</v>
      </c>
      <c r="AH106" s="5">
        <f t="shared" si="32"/>
        <v>0.11331240775328667</v>
      </c>
      <c r="AI106" s="5">
        <f t="shared" si="33"/>
        <v>0.88668759224671334</v>
      </c>
      <c r="AJ106" s="23" t="str">
        <f t="shared" si="34"/>
        <v>Put</v>
      </c>
      <c r="AK106" s="20">
        <f t="shared" si="35"/>
        <v>476.09999919539814</v>
      </c>
      <c r="AL106" s="20">
        <f t="shared" si="36"/>
        <v>476.09999919539814</v>
      </c>
      <c r="AM106" s="3">
        <f t="shared" si="37"/>
        <v>476.1</v>
      </c>
      <c r="AN106" s="5">
        <f t="shared" si="38"/>
        <v>475.20644449999998</v>
      </c>
      <c r="AO106" s="5">
        <f t="shared" si="39"/>
        <v>-8.0460188200959237E-7</v>
      </c>
      <c r="AP106" s="5">
        <f t="shared" si="40"/>
        <v>-1.1298294324318849</v>
      </c>
      <c r="AQ106" s="5">
        <f t="shared" si="41"/>
        <v>-1.2090989944345787</v>
      </c>
      <c r="AR106" s="5">
        <f t="shared" si="42"/>
        <v>476.1</v>
      </c>
      <c r="AS106" s="5">
        <f t="shared" si="43"/>
        <v>475.20644449999998</v>
      </c>
    </row>
  </sheetData>
  <autoFilter ref="A1:U106" xr:uid="{00000000-0009-0000-0000-000001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8C2F0F-96AB-497C-ADDC-5C331372CB4D}">
  <sheetPr codeName="Sheet5"/>
  <dimension ref="A1:XFD1048575"/>
  <sheetViews>
    <sheetView showGridLines="0" zoomScale="75" zoomScaleNormal="75" workbookViewId="0">
      <pane xSplit="6" ySplit="1" topLeftCell="H2" activePane="bottomRight" state="frozen"/>
      <selection pane="topRight" activeCell="G1" sqref="G1"/>
      <selection pane="bottomLeft" activeCell="A2" sqref="A2"/>
      <selection pane="bottomRight" activeCell="AO2" sqref="AO2"/>
    </sheetView>
  </sheetViews>
  <sheetFormatPr defaultRowHeight="15" x14ac:dyDescent="0.25"/>
  <cols>
    <col min="1" max="1" width="17.28515625" bestFit="1" customWidth="1"/>
    <col min="2" max="2" width="10.42578125" bestFit="1" customWidth="1"/>
    <col min="3" max="3" width="8" bestFit="1" customWidth="1"/>
    <col min="4" max="5" width="12.85546875" bestFit="1" customWidth="1"/>
    <col min="6" max="6" width="14.140625" bestFit="1" customWidth="1"/>
    <col min="7" max="8" width="13.7109375" customWidth="1"/>
    <col min="9" max="10" width="9.85546875" bestFit="1" customWidth="1"/>
    <col min="11" max="13" width="12.85546875" style="5" bestFit="1" customWidth="1"/>
    <col min="14" max="14" width="13.42578125" style="5" bestFit="1" customWidth="1"/>
    <col min="15" max="15" width="12.85546875" style="5" bestFit="1" customWidth="1"/>
    <col min="16" max="16" width="13.28515625" style="5" bestFit="1" customWidth="1"/>
    <col min="17" max="17" width="13.42578125" style="5" bestFit="1" customWidth="1"/>
    <col min="18" max="18" width="9.42578125" bestFit="1" customWidth="1"/>
    <col min="19" max="19" width="11.5703125" bestFit="1" customWidth="1"/>
    <col min="20" max="20" width="16.7109375" bestFit="1" customWidth="1"/>
    <col min="21" max="21" width="17.28515625" bestFit="1" customWidth="1"/>
    <col min="22" max="22" width="15.7109375" style="3" bestFit="1" customWidth="1"/>
    <col min="23" max="23" width="10.42578125" bestFit="1" customWidth="1"/>
    <col min="24" max="24" width="8.28515625" style="3" bestFit="1" customWidth="1"/>
    <col min="25" max="25" width="13.42578125" style="3" bestFit="1" customWidth="1"/>
    <col min="26" max="26" width="16.28515625" style="9" bestFit="1" customWidth="1"/>
    <col min="27" max="27" width="12.85546875" style="3" bestFit="1" customWidth="1"/>
    <col min="28" max="28" width="15.7109375" style="3" bestFit="1" customWidth="1"/>
    <col min="29" max="29" width="13.42578125" style="3" bestFit="1" customWidth="1"/>
    <col min="30" max="31" width="14.5703125" style="3" customWidth="1"/>
    <col min="32" max="32" width="16.28515625" style="3" bestFit="1" customWidth="1"/>
    <col min="33" max="35" width="12.7109375" style="3" customWidth="1"/>
    <col min="36" max="37" width="12.85546875" style="20" bestFit="1" customWidth="1"/>
    <col min="38" max="38" width="12.85546875" style="3" bestFit="1" customWidth="1"/>
    <col min="39" max="39" width="12.85546875" customWidth="1"/>
    <col min="40" max="40" width="11.7109375" style="5" customWidth="1"/>
    <col min="41" max="41" width="14.42578125" bestFit="1" customWidth="1"/>
    <col min="42" max="45" width="11.7109375" style="5" customWidth="1"/>
  </cols>
  <sheetData>
    <row r="1" spans="1:45" ht="30" customHeight="1" x14ac:dyDescent="0.25">
      <c r="A1" s="2" t="s">
        <v>5</v>
      </c>
      <c r="B1" s="2" t="s">
        <v>6</v>
      </c>
      <c r="C1" s="2" t="s">
        <v>7</v>
      </c>
      <c r="D1" s="2" t="s">
        <v>8</v>
      </c>
      <c r="E1" s="2" t="s">
        <v>9</v>
      </c>
      <c r="F1" s="2" t="s">
        <v>0</v>
      </c>
      <c r="G1" s="16" t="s">
        <v>48</v>
      </c>
      <c r="H1" s="16" t="s">
        <v>49</v>
      </c>
      <c r="I1" s="2" t="s">
        <v>12</v>
      </c>
      <c r="J1" s="2" t="s">
        <v>13</v>
      </c>
      <c r="K1" s="11" t="s">
        <v>14</v>
      </c>
      <c r="L1" s="11" t="s">
        <v>15</v>
      </c>
      <c r="M1" s="11" t="s">
        <v>16</v>
      </c>
      <c r="N1" s="11" t="s">
        <v>17</v>
      </c>
      <c r="O1" s="11" t="s">
        <v>18</v>
      </c>
      <c r="P1" s="11" t="s">
        <v>19</v>
      </c>
      <c r="Q1" s="11" t="s">
        <v>20</v>
      </c>
      <c r="R1" s="2" t="s">
        <v>21</v>
      </c>
      <c r="S1" s="2" t="s">
        <v>22</v>
      </c>
      <c r="T1" s="2" t="s">
        <v>23</v>
      </c>
      <c r="U1" s="2" t="s">
        <v>24</v>
      </c>
      <c r="V1" s="6" t="s">
        <v>25</v>
      </c>
      <c r="W1" s="2" t="s">
        <v>26</v>
      </c>
      <c r="X1" s="6" t="s">
        <v>43</v>
      </c>
      <c r="Y1" s="6" t="s">
        <v>27</v>
      </c>
      <c r="Z1" s="8" t="s">
        <v>28</v>
      </c>
      <c r="AA1" s="6" t="s">
        <v>29</v>
      </c>
      <c r="AB1" s="6" t="s">
        <v>30</v>
      </c>
      <c r="AC1" s="6" t="s">
        <v>31</v>
      </c>
      <c r="AD1" s="6" t="s">
        <v>32</v>
      </c>
      <c r="AE1" s="6" t="s">
        <v>33</v>
      </c>
      <c r="AF1" s="6" t="s">
        <v>28</v>
      </c>
      <c r="AG1" s="6" t="s">
        <v>34</v>
      </c>
      <c r="AH1" s="6" t="s">
        <v>35</v>
      </c>
      <c r="AI1" s="6" t="s">
        <v>36</v>
      </c>
      <c r="AJ1" s="19" t="s">
        <v>37</v>
      </c>
      <c r="AK1" s="19" t="s">
        <v>38</v>
      </c>
      <c r="AL1" s="6" t="s">
        <v>39</v>
      </c>
      <c r="AM1" s="2" t="s">
        <v>44</v>
      </c>
      <c r="AN1" s="11" t="s">
        <v>45</v>
      </c>
      <c r="AO1" s="2" t="s">
        <v>46</v>
      </c>
      <c r="AP1" s="11" t="s">
        <v>31</v>
      </c>
      <c r="AQ1" s="11" t="s">
        <v>34</v>
      </c>
      <c r="AR1" s="15" t="s">
        <v>44</v>
      </c>
      <c r="AS1" s="15" t="s">
        <v>45</v>
      </c>
    </row>
    <row r="2" spans="1:45" x14ac:dyDescent="0.25">
      <c r="A2" s="1">
        <v>45322.666666666664</v>
      </c>
      <c r="B2">
        <v>20240216</v>
      </c>
      <c r="C2">
        <v>4663.5</v>
      </c>
      <c r="D2">
        <v>4648.2287960000003</v>
      </c>
      <c r="E2" t="s">
        <v>40</v>
      </c>
      <c r="F2">
        <v>3475</v>
      </c>
      <c r="G2">
        <v>10</v>
      </c>
      <c r="H2" t="s">
        <v>41</v>
      </c>
      <c r="I2" s="3">
        <v>0.1</v>
      </c>
      <c r="J2" s="3">
        <v>0.3</v>
      </c>
      <c r="K2" s="5">
        <v>48.857054120000001</v>
      </c>
      <c r="L2" s="5">
        <v>0.64329366399999999</v>
      </c>
      <c r="M2" s="5">
        <v>0.15393880800000001</v>
      </c>
      <c r="N2" s="5">
        <v>-1.1788460000000001E-3</v>
      </c>
      <c r="O2" s="5">
        <v>3.6357529E-2</v>
      </c>
      <c r="P2" s="12">
        <v>3.9897509100430398E-6</v>
      </c>
      <c r="Q2" s="5">
        <v>-4.1095451999999998E-2</v>
      </c>
      <c r="R2">
        <v>0</v>
      </c>
      <c r="S2" t="b">
        <v>1</v>
      </c>
      <c r="T2" s="1">
        <v>45322.666666666664</v>
      </c>
      <c r="U2" s="1">
        <v>45338.666666666664</v>
      </c>
      <c r="V2" s="3">
        <f>(U2-T2)/365</f>
        <v>4.3835616438356165E-2</v>
      </c>
      <c r="W2">
        <v>3.7900000000000003E-2</v>
      </c>
      <c r="X2" s="7">
        <v>0.50109999999999999</v>
      </c>
      <c r="Y2" s="3">
        <f>(LN(C2/F2))</f>
        <v>0.29417176016802565</v>
      </c>
      <c r="Z2" s="9">
        <f>(W2+((X2)^2)/2)</f>
        <v>0.16345060499999997</v>
      </c>
      <c r="AA2" s="3">
        <f>V2</f>
        <v>4.3835616438356165E-2</v>
      </c>
      <c r="AB2" s="3">
        <f>X2*SQRT(V2)</f>
        <v>0.10491509104398243</v>
      </c>
      <c r="AC2" s="3">
        <f>(Y2+Z2*AA2)/AB2</f>
        <v>2.8721961273340244</v>
      </c>
      <c r="AD2" s="3">
        <f>_xlfn.NORM.DIST(AC2,0,1,TRUE)</f>
        <v>0.99796185051795183</v>
      </c>
      <c r="AE2" s="3">
        <f>_xlfn.NORM.DIST(-AC2,0,1,TRUE)</f>
        <v>2.038149482048203E-3</v>
      </c>
      <c r="AF2" s="3">
        <f>(W2-((X2)^2)/2)</f>
        <v>-8.7650604999999979E-2</v>
      </c>
      <c r="AG2" s="3">
        <f>(Y2+AF2*AA2)/AB2</f>
        <v>2.7672810362900417</v>
      </c>
      <c r="AH2" s="3">
        <f>_xlfn.NORM.DIST(AG2,0,1,TRUE)</f>
        <v>0.99717369983790494</v>
      </c>
      <c r="AI2" s="3">
        <f>_xlfn.NORM.DIST(-AG2,0,1,TRUE)</f>
        <v>2.8263001620950174E-3</v>
      </c>
      <c r="AJ2" s="20" t="str">
        <f>IF(E2="Call",C2*AD2-EXP(-W2*AA2)*F2*AH2,"Put")</f>
        <v>Put</v>
      </c>
      <c r="AK2" s="20">
        <f>IF(E2="Put",EXP(-W2*AA2)*F2*AI2-C2*AE2,"Call")</f>
        <v>0.30017953405530839</v>
      </c>
      <c r="AL2" s="3">
        <f>IF(E2="Put",AK2,AJ2)</f>
        <v>0.30017953405530839</v>
      </c>
      <c r="AM2" s="3">
        <f>J2</f>
        <v>0.3</v>
      </c>
      <c r="AN2" s="5">
        <f>M2</f>
        <v>0.15393880800000001</v>
      </c>
      <c r="AO2" s="5">
        <f>AM2-AL2</f>
        <v>-1.7953405530840572E-4</v>
      </c>
      <c r="AP2" s="5">
        <f>(LN(C2/F2)+(W2+((X2)^2)/2)*(V2))/(X2*SQRT(V2))</f>
        <v>2.8721961273340244</v>
      </c>
      <c r="AQ2" s="5">
        <f>(LN(C2/F2)+(W2-((X2)^2)/2)*(V2))/(X2*SQRT(V2))</f>
        <v>2.7672810362900417</v>
      </c>
      <c r="AR2" s="5">
        <f>J2</f>
        <v>0.3</v>
      </c>
      <c r="AS2" s="5">
        <f>M2</f>
        <v>0.15393880800000001</v>
      </c>
    </row>
    <row r="3" spans="1:45" x14ac:dyDescent="0.25">
      <c r="A3" s="1">
        <v>45322.666666666664</v>
      </c>
      <c r="B3">
        <v>20240216</v>
      </c>
      <c r="C3">
        <v>4663.5</v>
      </c>
      <c r="D3">
        <v>4648.2287960000003</v>
      </c>
      <c r="E3" t="s">
        <v>40</v>
      </c>
      <c r="F3">
        <v>3500</v>
      </c>
      <c r="G3">
        <v>10</v>
      </c>
      <c r="H3" t="s">
        <v>41</v>
      </c>
      <c r="I3" s="3">
        <v>0.1</v>
      </c>
      <c r="J3" s="3">
        <v>0.3</v>
      </c>
      <c r="K3" s="5">
        <v>48.166936720000002</v>
      </c>
      <c r="L3" s="5">
        <v>0.64329366399999999</v>
      </c>
      <c r="M3" s="5">
        <v>0.17033622600000001</v>
      </c>
      <c r="N3" s="5">
        <v>-1.3127029999999999E-3</v>
      </c>
      <c r="O3" s="5">
        <v>4.011675E-2</v>
      </c>
      <c r="P3" s="12">
        <v>4.1760691573455398E-6</v>
      </c>
      <c r="Q3" s="5">
        <v>-4.1807978000000003E-2</v>
      </c>
      <c r="R3">
        <v>0</v>
      </c>
      <c r="S3" t="b">
        <v>1</v>
      </c>
      <c r="T3" s="1">
        <v>45322.666666666664</v>
      </c>
      <c r="U3" s="1">
        <v>45338.666666666664</v>
      </c>
      <c r="V3" s="3">
        <f t="shared" ref="V3:V66" si="0">(U3-T3)/365</f>
        <v>4.3835616438356165E-2</v>
      </c>
      <c r="W3">
        <v>3.7900000000000003E-2</v>
      </c>
      <c r="X3" s="7">
        <v>0.48990358137227302</v>
      </c>
      <c r="Y3" s="3">
        <f t="shared" ref="Y3:Y66" si="1">(LN(C3/F3))</f>
        <v>0.28700327068941323</v>
      </c>
      <c r="Z3" s="9">
        <f t="shared" ref="Z3:Z66" si="2">(W3+((X3)^2)/2)</f>
        <v>0.15790275952068966</v>
      </c>
      <c r="AA3" s="3">
        <f t="shared" ref="AA3:AA66" si="3">V3</f>
        <v>4.3835616438356165E-2</v>
      </c>
      <c r="AB3" s="3">
        <f t="shared" ref="AB3:AB66" si="4">X3*SQRT(V3)</f>
        <v>0.10257090170114763</v>
      </c>
      <c r="AC3" s="3">
        <f t="shared" ref="AC3:AC66" si="5">(Y3+Z3*AA3)/AB3</f>
        <v>2.8655791322445938</v>
      </c>
      <c r="AD3" s="3">
        <f t="shared" ref="AD3:AD66" si="6">_xlfn.NORM.DIST(AC3,0,1,TRUE)</f>
        <v>0.99791876386928069</v>
      </c>
      <c r="AE3" s="3">
        <f t="shared" ref="AE3:AE66" si="7">_xlfn.NORM.DIST(-AC3,0,1,TRUE)</f>
        <v>2.0812361307193518E-3</v>
      </c>
      <c r="AF3" s="3">
        <f t="shared" ref="AF3:AF66" si="8">(W3-((X3)^2)/2)</f>
        <v>-8.2102759520689669E-2</v>
      </c>
      <c r="AG3" s="3">
        <f t="shared" ref="AG3:AG66" si="9">(Y3+AF3*AA3)/AB3</f>
        <v>2.7630082305434462</v>
      </c>
      <c r="AH3" s="3">
        <f t="shared" ref="AH3:AH66" si="10">_xlfn.NORM.DIST(AG3,0,1,TRUE)</f>
        <v>0.99713643388665918</v>
      </c>
      <c r="AI3" s="3">
        <f t="shared" ref="AI3:AI66" si="11">_xlfn.NORM.DIST(-AG3,0,1,TRUE)</f>
        <v>2.8635661133408043E-3</v>
      </c>
      <c r="AJ3" s="20" t="str">
        <f t="shared" ref="AJ3:AJ66" si="12">IF(E3="Call",C3*AD3-EXP(-W3*AA3)*F3*AH3,"Put")</f>
        <v>Put</v>
      </c>
      <c r="AK3" s="20">
        <f t="shared" ref="AK3:AK66" si="13">IF(E3="Put",EXP(-W3*AA3)*F3*AI3-C3*AE3,"Call")</f>
        <v>0.29999947665644022</v>
      </c>
      <c r="AL3" s="3">
        <f t="shared" ref="AL3:AL66" si="14">IF(E3="Put",AK3,AJ3)</f>
        <v>0.29999947665644022</v>
      </c>
      <c r="AM3" s="3">
        <f t="shared" ref="AM3:AM66" si="15">J3</f>
        <v>0.3</v>
      </c>
      <c r="AN3" s="5">
        <f t="shared" ref="AN3:AN66" si="16">M3</f>
        <v>0.17033622600000001</v>
      </c>
      <c r="AO3" s="5">
        <f t="shared" ref="AO3:AO66" si="17">AM3-AL3</f>
        <v>5.2334355976624281E-7</v>
      </c>
      <c r="AP3" s="5">
        <f t="shared" ref="AP3:AP66" si="18">(LN(C3/F3)+(W3+((X3)^2)/2)*(V3))/(X3*SQRT(V3))</f>
        <v>2.8655791322445938</v>
      </c>
      <c r="AQ3" s="5">
        <f t="shared" ref="AQ3:AQ66" si="19">(LN(C3/F3)+(W3-((X3)^2)/2)*(V3))/(X3*SQRT(V3))</f>
        <v>2.7630082305434462</v>
      </c>
      <c r="AR3" s="5">
        <f t="shared" ref="AR3:AR66" si="20">J3</f>
        <v>0.3</v>
      </c>
      <c r="AS3" s="5">
        <f t="shared" ref="AS3:AS66" si="21">M3</f>
        <v>0.17033622600000001</v>
      </c>
    </row>
    <row r="4" spans="1:45" x14ac:dyDescent="0.25">
      <c r="A4" s="1">
        <v>45322.666666666664</v>
      </c>
      <c r="B4">
        <v>20240216</v>
      </c>
      <c r="C4">
        <v>4663.5</v>
      </c>
      <c r="D4">
        <v>4648.2287960000003</v>
      </c>
      <c r="E4" t="s">
        <v>40</v>
      </c>
      <c r="F4">
        <v>3525</v>
      </c>
      <c r="G4">
        <v>10</v>
      </c>
      <c r="H4" t="s">
        <v>41</v>
      </c>
      <c r="I4" s="3">
        <v>0.1</v>
      </c>
      <c r="J4" s="3">
        <v>0.3</v>
      </c>
      <c r="K4" s="5">
        <v>47.45914544</v>
      </c>
      <c r="L4" s="5">
        <v>0.64329366399999999</v>
      </c>
      <c r="M4" s="5">
        <v>0.18774026099999999</v>
      </c>
      <c r="N4" s="5">
        <v>-1.4570609999999999E-3</v>
      </c>
      <c r="O4" s="5">
        <v>4.4127699999999999E-2</v>
      </c>
      <c r="P4" s="12">
        <v>4.5303850617614299E-6</v>
      </c>
      <c r="Q4" s="5">
        <v>-4.4031995999999997E-2</v>
      </c>
      <c r="R4">
        <v>0</v>
      </c>
      <c r="S4" t="b">
        <v>1</v>
      </c>
      <c r="T4" s="1">
        <v>45322.666666666664</v>
      </c>
      <c r="U4" s="1">
        <v>45338.666666666664</v>
      </c>
      <c r="V4" s="3">
        <f t="shared" si="0"/>
        <v>4.3835616438356165E-2</v>
      </c>
      <c r="W4">
        <v>3.7900000000000003E-2</v>
      </c>
      <c r="X4" s="7">
        <v>0.4788002787543289</v>
      </c>
      <c r="Y4" s="3">
        <f t="shared" si="1"/>
        <v>0.27988580292054921</v>
      </c>
      <c r="Z4" s="9">
        <f t="shared" si="2"/>
        <v>0.15252485346761152</v>
      </c>
      <c r="AA4" s="3">
        <f t="shared" si="3"/>
        <v>4.3835616438356165E-2</v>
      </c>
      <c r="AB4" s="3">
        <f t="shared" si="4"/>
        <v>0.10024620801715144</v>
      </c>
      <c r="AC4" s="3">
        <f t="shared" si="5"/>
        <v>2.8586799397483587</v>
      </c>
      <c r="AD4" s="3">
        <f t="shared" si="6"/>
        <v>0.99787296118748581</v>
      </c>
      <c r="AE4" s="3">
        <f t="shared" si="7"/>
        <v>2.1270388125141631E-3</v>
      </c>
      <c r="AF4" s="3">
        <f t="shared" si="8"/>
        <v>-7.6724853467611528E-2</v>
      </c>
      <c r="AG4" s="3">
        <f t="shared" si="9"/>
        <v>2.7584337317312073</v>
      </c>
      <c r="AH4" s="3">
        <f t="shared" si="10"/>
        <v>0.99709604601655721</v>
      </c>
      <c r="AI4" s="3">
        <f t="shared" si="11"/>
        <v>2.9039539834428054E-3</v>
      </c>
      <c r="AJ4" s="20" t="str">
        <f t="shared" si="12"/>
        <v>Put</v>
      </c>
      <c r="AK4" s="20">
        <f t="shared" si="13"/>
        <v>0.29999989945525307</v>
      </c>
      <c r="AL4" s="3">
        <f t="shared" si="14"/>
        <v>0.29999989945525307</v>
      </c>
      <c r="AM4" s="3">
        <f t="shared" si="15"/>
        <v>0.3</v>
      </c>
      <c r="AN4" s="5">
        <f t="shared" si="16"/>
        <v>0.18774026099999999</v>
      </c>
      <c r="AO4" s="5">
        <f t="shared" si="17"/>
        <v>1.0054474691711945E-7</v>
      </c>
      <c r="AP4" s="5">
        <f t="shared" si="18"/>
        <v>2.8586799397483587</v>
      </c>
      <c r="AQ4" s="5">
        <f t="shared" si="19"/>
        <v>2.7584337317312073</v>
      </c>
      <c r="AR4" s="5">
        <f t="shared" si="20"/>
        <v>0.3</v>
      </c>
      <c r="AS4" s="5">
        <f t="shared" si="21"/>
        <v>0.18774026099999999</v>
      </c>
    </row>
    <row r="5" spans="1:45" x14ac:dyDescent="0.25">
      <c r="A5" s="1">
        <v>45322.666666666664</v>
      </c>
      <c r="B5">
        <v>20240216</v>
      </c>
      <c r="C5">
        <v>4663.5</v>
      </c>
      <c r="D5">
        <v>4648.2287960000003</v>
      </c>
      <c r="E5" t="s">
        <v>40</v>
      </c>
      <c r="F5">
        <v>3550</v>
      </c>
      <c r="G5">
        <v>10</v>
      </c>
      <c r="H5" t="s">
        <v>41</v>
      </c>
      <c r="I5" s="3">
        <v>0.1</v>
      </c>
      <c r="J5" s="3">
        <v>0.3</v>
      </c>
      <c r="K5" s="5">
        <v>46.734089130000001</v>
      </c>
      <c r="L5" s="5">
        <v>0.64329366399999999</v>
      </c>
      <c r="M5" s="5">
        <v>0.20614533900000001</v>
      </c>
      <c r="N5" s="5">
        <v>-1.612383E-3</v>
      </c>
      <c r="O5" s="5">
        <v>4.8397795E-2</v>
      </c>
      <c r="P5" s="12">
        <v>4.90361016091793E-6</v>
      </c>
      <c r="Q5" s="5">
        <v>-4.6214357999999997E-2</v>
      </c>
      <c r="R5">
        <v>0</v>
      </c>
      <c r="S5" t="b">
        <v>1</v>
      </c>
      <c r="T5" s="1">
        <v>45322.666666666664</v>
      </c>
      <c r="U5" s="1">
        <v>45338.666666666664</v>
      </c>
      <c r="V5" s="3">
        <f t="shared" si="0"/>
        <v>4.3835616438356165E-2</v>
      </c>
      <c r="W5">
        <v>3.7900000000000003E-2</v>
      </c>
      <c r="X5" s="7">
        <v>0.46776011310628879</v>
      </c>
      <c r="Y5" s="3">
        <f t="shared" si="1"/>
        <v>0.27281863569745668</v>
      </c>
      <c r="Z5" s="9">
        <f t="shared" si="2"/>
        <v>0.14729976170660403</v>
      </c>
      <c r="AA5" s="3">
        <f t="shared" si="3"/>
        <v>4.3835616438356165E-2</v>
      </c>
      <c r="AB5" s="3">
        <f t="shared" si="4"/>
        <v>9.7934733293334283E-2</v>
      </c>
      <c r="AC5" s="3">
        <f t="shared" si="5"/>
        <v>2.8516502997624125</v>
      </c>
      <c r="AD5" s="3">
        <f t="shared" si="6"/>
        <v>0.99782535403394468</v>
      </c>
      <c r="AE5" s="3">
        <f t="shared" si="7"/>
        <v>2.1746459660552881E-3</v>
      </c>
      <c r="AF5" s="3">
        <f t="shared" si="8"/>
        <v>-7.1499761706604034E-2</v>
      </c>
      <c r="AG5" s="3">
        <f t="shared" si="9"/>
        <v>2.7537155664690784</v>
      </c>
      <c r="AH5" s="3">
        <f t="shared" si="10"/>
        <v>0.99705385239184441</v>
      </c>
      <c r="AI5" s="3">
        <f t="shared" si="11"/>
        <v>2.9461476081556015E-3</v>
      </c>
      <c r="AJ5" s="20" t="str">
        <f t="shared" si="12"/>
        <v>Put</v>
      </c>
      <c r="AK5" s="20">
        <f t="shared" si="13"/>
        <v>0.30000099721306128</v>
      </c>
      <c r="AL5" s="3">
        <f t="shared" si="14"/>
        <v>0.30000099721306128</v>
      </c>
      <c r="AM5" s="3">
        <f t="shared" si="15"/>
        <v>0.3</v>
      </c>
      <c r="AN5" s="5">
        <f t="shared" si="16"/>
        <v>0.20614533900000001</v>
      </c>
      <c r="AO5" s="5">
        <f t="shared" si="17"/>
        <v>-9.9721306129341158E-7</v>
      </c>
      <c r="AP5" s="5">
        <f t="shared" si="18"/>
        <v>2.8516502997624125</v>
      </c>
      <c r="AQ5" s="5">
        <f t="shared" si="19"/>
        <v>2.7537155664690784</v>
      </c>
      <c r="AR5" s="5">
        <f t="shared" si="20"/>
        <v>0.3</v>
      </c>
      <c r="AS5" s="5">
        <f t="shared" si="21"/>
        <v>0.20614533900000001</v>
      </c>
    </row>
    <row r="6" spans="1:45" x14ac:dyDescent="0.25">
      <c r="A6" s="1">
        <v>45322.666666666664</v>
      </c>
      <c r="B6">
        <v>20240216</v>
      </c>
      <c r="C6">
        <v>4663.5</v>
      </c>
      <c r="D6">
        <v>4648.2287960000003</v>
      </c>
      <c r="E6" t="s">
        <v>40</v>
      </c>
      <c r="F6">
        <v>3575</v>
      </c>
      <c r="G6">
        <v>10</v>
      </c>
      <c r="H6" t="s">
        <v>41</v>
      </c>
      <c r="I6" s="3">
        <v>0.1</v>
      </c>
      <c r="J6" s="3">
        <v>0.3</v>
      </c>
      <c r="K6" s="5">
        <v>45.992165819999997</v>
      </c>
      <c r="L6" s="5">
        <v>0.64329366399999999</v>
      </c>
      <c r="M6" s="5">
        <v>0.22554068299999999</v>
      </c>
      <c r="N6" s="5">
        <v>-1.7791459999999999E-3</v>
      </c>
      <c r="O6" s="5">
        <v>5.2934547999999998E-2</v>
      </c>
      <c r="P6" s="12">
        <v>5.2964912609790999E-6</v>
      </c>
      <c r="Q6" s="5">
        <v>-4.8344760000000001E-2</v>
      </c>
      <c r="R6">
        <v>0</v>
      </c>
      <c r="S6" t="b">
        <v>1</v>
      </c>
      <c r="T6" s="1">
        <v>45322.666666666664</v>
      </c>
      <c r="U6" s="1">
        <v>45338.666666666664</v>
      </c>
      <c r="V6" s="3">
        <f t="shared" si="0"/>
        <v>4.3835616438356165E-2</v>
      </c>
      <c r="W6">
        <v>3.7900000000000003E-2</v>
      </c>
      <c r="X6" s="7">
        <v>0.45678131998502325</v>
      </c>
      <c r="Y6" s="3">
        <f t="shared" si="1"/>
        <v>0.26580106303881013</v>
      </c>
      <c r="Z6" s="9">
        <f t="shared" si="2"/>
        <v>0.14222458714363012</v>
      </c>
      <c r="AA6" s="3">
        <f t="shared" si="3"/>
        <v>4.3835616438356165E-2</v>
      </c>
      <c r="AB6" s="3">
        <f t="shared" si="4"/>
        <v>9.5636108108998572E-2</v>
      </c>
      <c r="AC6" s="3">
        <f t="shared" si="5"/>
        <v>2.8444859464470986</v>
      </c>
      <c r="AD6" s="3">
        <f t="shared" si="6"/>
        <v>0.9977758425946861</v>
      </c>
      <c r="AE6" s="3">
        <f t="shared" si="7"/>
        <v>2.2241574053139157E-3</v>
      </c>
      <c r="AF6" s="3">
        <f t="shared" si="8"/>
        <v>-6.6424587143630101E-2</v>
      </c>
      <c r="AG6" s="3">
        <f t="shared" si="9"/>
        <v>2.7488498383381001</v>
      </c>
      <c r="AH6" s="3">
        <f t="shared" si="10"/>
        <v>0.99700976114212003</v>
      </c>
      <c r="AI6" s="3">
        <f t="shared" si="11"/>
        <v>2.9902388578799521E-3</v>
      </c>
      <c r="AJ6" s="20" t="str">
        <f t="shared" si="12"/>
        <v>Put</v>
      </c>
      <c r="AK6" s="20">
        <f t="shared" si="13"/>
        <v>0.30000038573678545</v>
      </c>
      <c r="AL6" s="3">
        <f t="shared" si="14"/>
        <v>0.30000038573678545</v>
      </c>
      <c r="AM6" s="3">
        <f t="shared" si="15"/>
        <v>0.3</v>
      </c>
      <c r="AN6" s="5">
        <f t="shared" si="16"/>
        <v>0.22554068299999999</v>
      </c>
      <c r="AO6" s="5">
        <f t="shared" si="17"/>
        <v>-3.8573678545761325E-7</v>
      </c>
      <c r="AP6" s="5">
        <f t="shared" si="18"/>
        <v>2.8444859464470986</v>
      </c>
      <c r="AQ6" s="5">
        <f t="shared" si="19"/>
        <v>2.7488498383381001</v>
      </c>
      <c r="AR6" s="5">
        <f t="shared" si="20"/>
        <v>0.3</v>
      </c>
      <c r="AS6" s="5">
        <f t="shared" si="21"/>
        <v>0.22554068299999999</v>
      </c>
    </row>
    <row r="7" spans="1:45" x14ac:dyDescent="0.25">
      <c r="A7" s="1">
        <v>45322.666666666664</v>
      </c>
      <c r="B7">
        <v>20240216</v>
      </c>
      <c r="C7">
        <v>4663.5</v>
      </c>
      <c r="D7">
        <v>4648.2287960000003</v>
      </c>
      <c r="E7" t="s">
        <v>40</v>
      </c>
      <c r="F7">
        <v>3600</v>
      </c>
      <c r="G7">
        <v>10</v>
      </c>
      <c r="H7" t="s">
        <v>41</v>
      </c>
      <c r="I7" s="3">
        <v>0.2</v>
      </c>
      <c r="J7" s="3">
        <v>0.4</v>
      </c>
      <c r="K7" s="5">
        <v>45.233763070000002</v>
      </c>
      <c r="L7" s="5">
        <v>0.64329366399999999</v>
      </c>
      <c r="M7" s="5">
        <v>0.245910355</v>
      </c>
      <c r="N7" s="5">
        <v>-1.9578410000000001E-3</v>
      </c>
      <c r="O7" s="5">
        <v>5.7745638000000002E-2</v>
      </c>
      <c r="P7" s="12">
        <v>5.7098935409154504E-6</v>
      </c>
      <c r="Q7" s="5">
        <v>-5.0413502999999998E-2</v>
      </c>
      <c r="R7">
        <v>0</v>
      </c>
      <c r="S7" t="b">
        <v>1</v>
      </c>
      <c r="T7" s="1">
        <v>45322.666666666664</v>
      </c>
      <c r="U7" s="1">
        <v>45338.666666666664</v>
      </c>
      <c r="V7" s="3">
        <f t="shared" si="0"/>
        <v>4.3835616438356165E-2</v>
      </c>
      <c r="W7">
        <v>3.7900000000000003E-2</v>
      </c>
      <c r="X7" s="7">
        <v>0.45872126526977697</v>
      </c>
      <c r="Y7" s="3">
        <f t="shared" si="1"/>
        <v>0.25883239372271682</v>
      </c>
      <c r="Z7" s="9">
        <f t="shared" si="2"/>
        <v>0.14311259960535255</v>
      </c>
      <c r="AA7" s="3">
        <f t="shared" si="3"/>
        <v>4.3835616438356165E-2</v>
      </c>
      <c r="AB7" s="3">
        <f t="shared" si="4"/>
        <v>9.6042273617221049E-2</v>
      </c>
      <c r="AC7" s="3">
        <f t="shared" si="5"/>
        <v>2.76030348680727</v>
      </c>
      <c r="AD7" s="3">
        <f t="shared" si="6"/>
        <v>0.99711261558182906</v>
      </c>
      <c r="AE7" s="3">
        <f t="shared" si="7"/>
        <v>2.88738441817092E-3</v>
      </c>
      <c r="AF7" s="3">
        <f t="shared" si="8"/>
        <v>-6.7312599605352547E-2</v>
      </c>
      <c r="AG7" s="3">
        <f t="shared" si="9"/>
        <v>2.6642612131900485</v>
      </c>
      <c r="AH7" s="3">
        <f t="shared" si="10"/>
        <v>0.99614211883711357</v>
      </c>
      <c r="AI7" s="3">
        <f t="shared" si="11"/>
        <v>3.8578811628864201E-3</v>
      </c>
      <c r="AJ7" s="20" t="str">
        <f t="shared" si="12"/>
        <v>Put</v>
      </c>
      <c r="AK7" s="20">
        <f t="shared" si="13"/>
        <v>0.40000038563816354</v>
      </c>
      <c r="AL7" s="3">
        <f t="shared" si="14"/>
        <v>0.40000038563816354</v>
      </c>
      <c r="AM7" s="3">
        <f t="shared" si="15"/>
        <v>0.4</v>
      </c>
      <c r="AN7" s="5">
        <f t="shared" si="16"/>
        <v>0.245910355</v>
      </c>
      <c r="AO7" s="5">
        <f t="shared" si="17"/>
        <v>-3.8563816351366853E-7</v>
      </c>
      <c r="AP7" s="5">
        <f t="shared" si="18"/>
        <v>2.76030348680727</v>
      </c>
      <c r="AQ7" s="5">
        <f t="shared" si="19"/>
        <v>2.6642612131900485</v>
      </c>
      <c r="AR7" s="5">
        <f t="shared" si="20"/>
        <v>0.4</v>
      </c>
      <c r="AS7" s="5">
        <f t="shared" si="21"/>
        <v>0.245910355</v>
      </c>
    </row>
    <row r="8" spans="1:45" x14ac:dyDescent="0.25">
      <c r="A8" s="1">
        <v>45322.666666666664</v>
      </c>
      <c r="B8">
        <v>20240216</v>
      </c>
      <c r="C8">
        <v>4663.5</v>
      </c>
      <c r="D8">
        <v>4648.2287960000003</v>
      </c>
      <c r="E8" t="s">
        <v>40</v>
      </c>
      <c r="F8">
        <v>3625</v>
      </c>
      <c r="G8">
        <v>10</v>
      </c>
      <c r="H8" t="s">
        <v>41</v>
      </c>
      <c r="I8" s="3">
        <v>0.2</v>
      </c>
      <c r="J8" s="3">
        <v>0.4</v>
      </c>
      <c r="K8" s="5">
        <v>44.459258269999999</v>
      </c>
      <c r="L8" s="5">
        <v>0.64329366399999999</v>
      </c>
      <c r="M8" s="5">
        <v>0.26723332900000002</v>
      </c>
      <c r="N8" s="5">
        <v>-2.14898E-3</v>
      </c>
      <c r="O8" s="5">
        <v>6.2838993999999995E-2</v>
      </c>
      <c r="P8" s="12">
        <v>6.1448234340353002E-6</v>
      </c>
      <c r="Q8" s="5">
        <v>-5.2411580999999999E-2</v>
      </c>
      <c r="R8">
        <v>0</v>
      </c>
      <c r="S8" t="b">
        <v>1</v>
      </c>
      <c r="T8" s="1">
        <v>45322.666666666664</v>
      </c>
      <c r="U8" s="1">
        <v>45338.666666666664</v>
      </c>
      <c r="V8" s="3">
        <f t="shared" si="0"/>
        <v>4.3835616438356165E-2</v>
      </c>
      <c r="W8">
        <v>3.7900000000000003E-2</v>
      </c>
      <c r="X8" s="7">
        <v>0.44759420099927943</v>
      </c>
      <c r="Y8" s="3">
        <f t="shared" si="1"/>
        <v>0.25191195087814311</v>
      </c>
      <c r="Z8" s="9">
        <f t="shared" si="2"/>
        <v>0.13807028438409169</v>
      </c>
      <c r="AA8" s="3">
        <f t="shared" si="3"/>
        <v>4.3835616438356165E-2</v>
      </c>
      <c r="AB8" s="3">
        <f t="shared" si="4"/>
        <v>9.3712604966270152E-2</v>
      </c>
      <c r="AC8" s="3">
        <f t="shared" si="5"/>
        <v>2.7527177053587151</v>
      </c>
      <c r="AD8" s="3">
        <f t="shared" si="6"/>
        <v>0.9970448582368947</v>
      </c>
      <c r="AE8" s="3">
        <f t="shared" si="7"/>
        <v>2.9551417631052796E-3</v>
      </c>
      <c r="AF8" s="3">
        <f t="shared" si="8"/>
        <v>-6.227028438409167E-2</v>
      </c>
      <c r="AG8" s="3">
        <f t="shared" si="9"/>
        <v>2.6590051003924451</v>
      </c>
      <c r="AH8" s="3">
        <f t="shared" si="10"/>
        <v>0.99608141117250093</v>
      </c>
      <c r="AI8" s="3">
        <f t="shared" si="11"/>
        <v>3.9185888274991037E-3</v>
      </c>
      <c r="AJ8" s="20" t="str">
        <f t="shared" si="12"/>
        <v>Put</v>
      </c>
      <c r="AK8" s="20">
        <f t="shared" si="13"/>
        <v>0.40000091338024113</v>
      </c>
      <c r="AL8" s="3">
        <f t="shared" si="14"/>
        <v>0.40000091338024113</v>
      </c>
      <c r="AM8" s="3">
        <f t="shared" si="15"/>
        <v>0.4</v>
      </c>
      <c r="AN8" s="5">
        <f t="shared" si="16"/>
        <v>0.26723332900000002</v>
      </c>
      <c r="AO8" s="5">
        <f t="shared" si="17"/>
        <v>-9.1338024110765303E-7</v>
      </c>
      <c r="AP8" s="5">
        <f t="shared" si="18"/>
        <v>2.7527177053587151</v>
      </c>
      <c r="AQ8" s="5">
        <f t="shared" si="19"/>
        <v>2.6590051003924451</v>
      </c>
      <c r="AR8" s="5">
        <f t="shared" si="20"/>
        <v>0.4</v>
      </c>
      <c r="AS8" s="5">
        <f t="shared" si="21"/>
        <v>0.26723332900000002</v>
      </c>
    </row>
    <row r="9" spans="1:45" x14ac:dyDescent="0.25">
      <c r="A9" s="1">
        <v>45322.666666666664</v>
      </c>
      <c r="B9">
        <v>20240216</v>
      </c>
      <c r="C9">
        <v>4663.5</v>
      </c>
      <c r="D9">
        <v>4648.2287960000003</v>
      </c>
      <c r="E9" t="s">
        <v>40</v>
      </c>
      <c r="F9">
        <v>3650</v>
      </c>
      <c r="G9">
        <v>10</v>
      </c>
      <c r="H9" t="s">
        <v>41</v>
      </c>
      <c r="I9" s="3">
        <v>0.2</v>
      </c>
      <c r="J9" s="3">
        <v>0.4</v>
      </c>
      <c r="K9" s="5">
        <v>43.669018999999999</v>
      </c>
      <c r="L9" s="5">
        <v>0.64329366399999999</v>
      </c>
      <c r="M9" s="5">
        <v>0.28948361299999997</v>
      </c>
      <c r="N9" s="5">
        <v>-2.3531009999999998E-3</v>
      </c>
      <c r="O9" s="5">
        <v>6.8222891999999993E-2</v>
      </c>
      <c r="P9" s="12">
        <v>6.60245517710319E-6</v>
      </c>
      <c r="Q9" s="5">
        <v>-5.4330757E-2</v>
      </c>
      <c r="R9">
        <v>0</v>
      </c>
      <c r="S9" t="b">
        <v>1</v>
      </c>
      <c r="T9" s="1">
        <v>45322.666666666664</v>
      </c>
      <c r="U9" s="1">
        <v>45338.666666666664</v>
      </c>
      <c r="V9" s="3">
        <f t="shared" si="0"/>
        <v>4.3835616438356165E-2</v>
      </c>
      <c r="W9">
        <v>3.7900000000000003E-2</v>
      </c>
      <c r="X9" s="7">
        <v>0.43652525817788579</v>
      </c>
      <c r="Y9" s="3">
        <f t="shared" si="1"/>
        <v>0.24503907159038102</v>
      </c>
      <c r="Z9" s="9">
        <f t="shared" si="2"/>
        <v>0.13317715051363493</v>
      </c>
      <c r="AA9" s="3">
        <f t="shared" si="3"/>
        <v>4.3835616438356165E-2</v>
      </c>
      <c r="AB9" s="3">
        <f t="shared" si="4"/>
        <v>9.1395105178069896E-2</v>
      </c>
      <c r="AC9" s="3">
        <f t="shared" si="5"/>
        <v>2.7449716654940453</v>
      </c>
      <c r="AD9" s="3">
        <f t="shared" si="6"/>
        <v>0.99697419387918063</v>
      </c>
      <c r="AE9" s="3">
        <f t="shared" si="7"/>
        <v>3.0258061208194281E-3</v>
      </c>
      <c r="AF9" s="3">
        <f t="shared" si="8"/>
        <v>-5.7377150513634914E-2</v>
      </c>
      <c r="AG9" s="3">
        <f t="shared" si="9"/>
        <v>2.6535765603159751</v>
      </c>
      <c r="AH9" s="3">
        <f t="shared" si="10"/>
        <v>0.99601781495920594</v>
      </c>
      <c r="AI9" s="3">
        <f t="shared" si="11"/>
        <v>3.9821850407940999E-3</v>
      </c>
      <c r="AJ9" s="20" t="str">
        <f t="shared" si="12"/>
        <v>Put</v>
      </c>
      <c r="AK9" s="20">
        <f t="shared" si="13"/>
        <v>0.40000063262050922</v>
      </c>
      <c r="AL9" s="3">
        <f t="shared" si="14"/>
        <v>0.40000063262050922</v>
      </c>
      <c r="AM9" s="3">
        <f t="shared" si="15"/>
        <v>0.4</v>
      </c>
      <c r="AN9" s="5">
        <f t="shared" si="16"/>
        <v>0.28948361299999997</v>
      </c>
      <c r="AO9" s="5">
        <f t="shared" si="17"/>
        <v>-6.3262050919998813E-7</v>
      </c>
      <c r="AP9" s="5">
        <f t="shared" si="18"/>
        <v>2.7449716654940453</v>
      </c>
      <c r="AQ9" s="5">
        <f t="shared" si="19"/>
        <v>2.6535765603159751</v>
      </c>
      <c r="AR9" s="5">
        <f t="shared" si="20"/>
        <v>0.4</v>
      </c>
      <c r="AS9" s="5">
        <f t="shared" si="21"/>
        <v>0.28948361299999997</v>
      </c>
    </row>
    <row r="10" spans="1:45" x14ac:dyDescent="0.25">
      <c r="A10" s="1">
        <v>45322.666666666664</v>
      </c>
      <c r="B10">
        <v>20240216</v>
      </c>
      <c r="C10">
        <v>4663.5</v>
      </c>
      <c r="D10">
        <v>4648.2287960000003</v>
      </c>
      <c r="E10" t="s">
        <v>40</v>
      </c>
      <c r="F10">
        <v>3675</v>
      </c>
      <c r="G10">
        <v>10</v>
      </c>
      <c r="H10" t="s">
        <v>41</v>
      </c>
      <c r="I10" s="3">
        <v>0.2</v>
      </c>
      <c r="J10" s="3">
        <v>0.5</v>
      </c>
      <c r="K10" s="5">
        <v>42.863403320000003</v>
      </c>
      <c r="L10" s="5">
        <v>0.64329366399999999</v>
      </c>
      <c r="M10" s="5">
        <v>0.31263040800000003</v>
      </c>
      <c r="N10" s="5">
        <v>-2.5707690000000001E-3</v>
      </c>
      <c r="O10" s="5">
        <v>7.3906061999999995E-2</v>
      </c>
      <c r="P10" s="12">
        <v>7.0841618569836598E-6</v>
      </c>
      <c r="Q10" s="5">
        <v>-5.6163633999999997E-2</v>
      </c>
      <c r="R10">
        <v>0</v>
      </c>
      <c r="S10" t="b">
        <v>1</v>
      </c>
      <c r="T10" s="1">
        <v>45322.666666666664</v>
      </c>
      <c r="U10" s="1">
        <v>45338.666666666664</v>
      </c>
      <c r="V10" s="3">
        <f t="shared" si="0"/>
        <v>4.3835616438356165E-2</v>
      </c>
      <c r="W10">
        <v>3.7900000000000003E-2</v>
      </c>
      <c r="X10" s="7">
        <v>0.43550428797101548</v>
      </c>
      <c r="Y10" s="3">
        <f t="shared" si="1"/>
        <v>0.23821310651998107</v>
      </c>
      <c r="Z10" s="9">
        <f t="shared" si="2"/>
        <v>0.1327319924205706</v>
      </c>
      <c r="AA10" s="3">
        <f t="shared" si="3"/>
        <v>4.3835616438356165E-2</v>
      </c>
      <c r="AB10" s="3">
        <f t="shared" si="4"/>
        <v>9.1181345085858775E-2</v>
      </c>
      <c r="AC10" s="3">
        <f t="shared" si="5"/>
        <v>2.6763313811508427</v>
      </c>
      <c r="AD10" s="3">
        <f t="shared" si="6"/>
        <v>0.99627834953447325</v>
      </c>
      <c r="AE10" s="3">
        <f t="shared" si="7"/>
        <v>3.7216504655267291E-3</v>
      </c>
      <c r="AF10" s="3">
        <f t="shared" si="8"/>
        <v>-5.6931992420570593E-2</v>
      </c>
      <c r="AG10" s="3">
        <f t="shared" si="9"/>
        <v>2.5851500360649835</v>
      </c>
      <c r="AH10" s="3">
        <f t="shared" si="10"/>
        <v>0.9951331684653888</v>
      </c>
      <c r="AI10" s="3">
        <f t="shared" si="11"/>
        <v>4.8668315346112176E-3</v>
      </c>
      <c r="AJ10" s="20" t="str">
        <f t="shared" si="12"/>
        <v>Put</v>
      </c>
      <c r="AK10" s="20">
        <f t="shared" si="13"/>
        <v>0.49999900691761212</v>
      </c>
      <c r="AL10" s="3">
        <f t="shared" si="14"/>
        <v>0.49999900691761212</v>
      </c>
      <c r="AM10" s="3">
        <f t="shared" si="15"/>
        <v>0.5</v>
      </c>
      <c r="AN10" s="5">
        <f t="shared" si="16"/>
        <v>0.31263040800000003</v>
      </c>
      <c r="AO10" s="5">
        <f t="shared" si="17"/>
        <v>9.9308238787898517E-7</v>
      </c>
      <c r="AP10" s="5">
        <f t="shared" si="18"/>
        <v>2.6763313811508427</v>
      </c>
      <c r="AQ10" s="5">
        <f t="shared" si="19"/>
        <v>2.5851500360649835</v>
      </c>
      <c r="AR10" s="5">
        <f t="shared" si="20"/>
        <v>0.5</v>
      </c>
      <c r="AS10" s="5">
        <f t="shared" si="21"/>
        <v>0.31263040800000003</v>
      </c>
    </row>
    <row r="11" spans="1:45" x14ac:dyDescent="0.25">
      <c r="A11" s="1">
        <v>45322.666666666664</v>
      </c>
      <c r="B11">
        <v>20240216</v>
      </c>
      <c r="C11">
        <v>4663.5</v>
      </c>
      <c r="D11">
        <v>4648.2287960000003</v>
      </c>
      <c r="E11" t="s">
        <v>40</v>
      </c>
      <c r="F11">
        <v>3700</v>
      </c>
      <c r="G11">
        <v>10</v>
      </c>
      <c r="H11" t="s">
        <v>41</v>
      </c>
      <c r="I11" s="3">
        <v>0.2</v>
      </c>
      <c r="J11" s="3">
        <v>0.5</v>
      </c>
      <c r="K11" s="5">
        <v>42.042760049999998</v>
      </c>
      <c r="L11" s="5">
        <v>0.64329366399999999</v>
      </c>
      <c r="M11" s="5">
        <v>0.336638308</v>
      </c>
      <c r="N11" s="5">
        <v>-2.8025839999999999E-3</v>
      </c>
      <c r="O11" s="5">
        <v>7.9897817999999995E-2</v>
      </c>
      <c r="P11" s="12">
        <v>7.8001748235415498E-6</v>
      </c>
      <c r="Q11" s="5">
        <v>-5.9494962999999998E-2</v>
      </c>
      <c r="R11">
        <v>0</v>
      </c>
      <c r="S11" t="b">
        <v>1</v>
      </c>
      <c r="T11" s="1">
        <v>45322.666666666664</v>
      </c>
      <c r="U11" s="1">
        <v>45338.666666666664</v>
      </c>
      <c r="V11" s="3">
        <f t="shared" si="0"/>
        <v>4.3835616438356165E-2</v>
      </c>
      <c r="W11">
        <v>3.7900000000000003E-2</v>
      </c>
      <c r="X11" s="7">
        <v>0.42432995666446255</v>
      </c>
      <c r="Y11" s="3">
        <f t="shared" si="1"/>
        <v>0.23143341953460242</v>
      </c>
      <c r="Z11" s="9">
        <f t="shared" si="2"/>
        <v>0.12792795606143234</v>
      </c>
      <c r="AA11" s="3">
        <f t="shared" si="3"/>
        <v>4.3835616438356165E-2</v>
      </c>
      <c r="AB11" s="3">
        <f t="shared" si="4"/>
        <v>8.8841780155939354E-2</v>
      </c>
      <c r="AC11" s="3">
        <f t="shared" si="5"/>
        <v>2.6681277652495048</v>
      </c>
      <c r="AD11" s="3">
        <f t="shared" si="6"/>
        <v>0.99618623768994774</v>
      </c>
      <c r="AE11" s="3">
        <f t="shared" si="7"/>
        <v>3.813762310052214E-3</v>
      </c>
      <c r="AF11" s="3">
        <f t="shared" si="8"/>
        <v>-5.2127956061432335E-2</v>
      </c>
      <c r="AG11" s="3">
        <f t="shared" si="9"/>
        <v>2.579285985093565</v>
      </c>
      <c r="AH11" s="3">
        <f t="shared" si="10"/>
        <v>0.99504976076829932</v>
      </c>
      <c r="AI11" s="3">
        <f t="shared" si="11"/>
        <v>4.9502392317006946E-3</v>
      </c>
      <c r="AJ11" s="20" t="str">
        <f t="shared" si="12"/>
        <v>Put</v>
      </c>
      <c r="AK11" s="20">
        <f t="shared" si="13"/>
        <v>0.50000042805040223</v>
      </c>
      <c r="AL11" s="3">
        <f t="shared" si="14"/>
        <v>0.50000042805040223</v>
      </c>
      <c r="AM11" s="3">
        <f t="shared" si="15"/>
        <v>0.5</v>
      </c>
      <c r="AN11" s="5">
        <f t="shared" si="16"/>
        <v>0.336638308</v>
      </c>
      <c r="AO11" s="5">
        <f t="shared" si="17"/>
        <v>-4.2805040223470314E-7</v>
      </c>
      <c r="AP11" s="5">
        <f t="shared" si="18"/>
        <v>2.6681277652495048</v>
      </c>
      <c r="AQ11" s="5">
        <f t="shared" si="19"/>
        <v>2.579285985093565</v>
      </c>
      <c r="AR11" s="5">
        <f t="shared" si="20"/>
        <v>0.5</v>
      </c>
      <c r="AS11" s="5">
        <f t="shared" si="21"/>
        <v>0.336638308</v>
      </c>
    </row>
    <row r="12" spans="1:45" x14ac:dyDescent="0.25">
      <c r="A12" s="1">
        <v>45322.666666666664</v>
      </c>
      <c r="B12">
        <v>20240216</v>
      </c>
      <c r="C12">
        <v>4663.5</v>
      </c>
      <c r="D12">
        <v>4648.2287960000003</v>
      </c>
      <c r="E12" t="s">
        <v>40</v>
      </c>
      <c r="F12">
        <v>3725</v>
      </c>
      <c r="G12">
        <v>10</v>
      </c>
      <c r="H12" t="s">
        <v>41</v>
      </c>
      <c r="I12" s="3">
        <v>0.3</v>
      </c>
      <c r="J12" s="3">
        <v>0.4</v>
      </c>
      <c r="K12" s="5">
        <v>41.22935683</v>
      </c>
      <c r="L12" s="5">
        <v>0.64329366399999999</v>
      </c>
      <c r="M12" s="5">
        <v>0.36336156800000002</v>
      </c>
      <c r="N12" s="5">
        <v>-3.062338E-3</v>
      </c>
      <c r="O12" s="5">
        <v>8.6542874000000006E-2</v>
      </c>
      <c r="P12" s="12">
        <v>9.0391717516499092E-6</v>
      </c>
      <c r="Q12" s="5">
        <v>-6.6303306000000006E-2</v>
      </c>
      <c r="R12">
        <v>0</v>
      </c>
      <c r="S12" t="b">
        <v>1</v>
      </c>
      <c r="T12" s="1">
        <v>45322.666666666664</v>
      </c>
      <c r="U12" s="1">
        <v>45338.666666666664</v>
      </c>
      <c r="V12" s="3">
        <f t="shared" si="0"/>
        <v>4.3835616438356165E-2</v>
      </c>
      <c r="W12">
        <v>3.7900000000000003E-2</v>
      </c>
      <c r="X12" s="7">
        <v>0.40365314310816819</v>
      </c>
      <c r="Y12" s="3">
        <f t="shared" si="1"/>
        <v>0.22469938735325826</v>
      </c>
      <c r="Z12" s="9">
        <f t="shared" si="2"/>
        <v>0.11936792997055165</v>
      </c>
      <c r="AA12" s="3">
        <f t="shared" si="3"/>
        <v>4.3835616438356165E-2</v>
      </c>
      <c r="AB12" s="3">
        <f t="shared" si="4"/>
        <v>8.4512684612618502E-2</v>
      </c>
      <c r="AC12" s="3">
        <f t="shared" si="5"/>
        <v>2.720679803279578</v>
      </c>
      <c r="AD12" s="3">
        <f t="shared" si="6"/>
        <v>0.9967426084261154</v>
      </c>
      <c r="AE12" s="3">
        <f t="shared" si="7"/>
        <v>3.2573915738845615E-3</v>
      </c>
      <c r="AF12" s="3">
        <f t="shared" si="8"/>
        <v>-4.3567929970551644E-2</v>
      </c>
      <c r="AG12" s="3">
        <f t="shared" si="9"/>
        <v>2.6361671186669593</v>
      </c>
      <c r="AH12" s="3">
        <f t="shared" si="10"/>
        <v>0.99580757876863857</v>
      </c>
      <c r="AI12" s="3">
        <f t="shared" si="11"/>
        <v>4.1924212313614708E-3</v>
      </c>
      <c r="AJ12" s="20" t="str">
        <f t="shared" si="12"/>
        <v>Put</v>
      </c>
      <c r="AK12" s="20">
        <f t="shared" si="13"/>
        <v>0.39999979287304477</v>
      </c>
      <c r="AL12" s="3">
        <f t="shared" si="14"/>
        <v>0.39999979287304477</v>
      </c>
      <c r="AM12" s="3">
        <f t="shared" si="15"/>
        <v>0.4</v>
      </c>
      <c r="AN12" s="5">
        <f t="shared" si="16"/>
        <v>0.36336156800000002</v>
      </c>
      <c r="AO12" s="5">
        <f t="shared" si="17"/>
        <v>2.0712695525393343E-7</v>
      </c>
      <c r="AP12" s="5">
        <f t="shared" si="18"/>
        <v>2.720679803279578</v>
      </c>
      <c r="AQ12" s="5">
        <f t="shared" si="19"/>
        <v>2.6361671186669593</v>
      </c>
      <c r="AR12" s="5">
        <f t="shared" si="20"/>
        <v>0.4</v>
      </c>
      <c r="AS12" s="5">
        <f t="shared" si="21"/>
        <v>0.36336156800000002</v>
      </c>
    </row>
    <row r="13" spans="1:45" x14ac:dyDescent="0.25">
      <c r="A13" s="1">
        <v>45322.666666666664</v>
      </c>
      <c r="B13">
        <v>20240216</v>
      </c>
      <c r="C13">
        <v>4663.5</v>
      </c>
      <c r="D13">
        <v>4648.2287960000003</v>
      </c>
      <c r="E13" t="s">
        <v>40</v>
      </c>
      <c r="F13">
        <v>3750</v>
      </c>
      <c r="G13">
        <v>10</v>
      </c>
      <c r="H13" t="s">
        <v>41</v>
      </c>
      <c r="I13" s="3">
        <v>0.3</v>
      </c>
      <c r="J13" s="3">
        <v>0.6</v>
      </c>
      <c r="K13" s="5">
        <v>40.44486689</v>
      </c>
      <c r="L13" s="5">
        <v>0.64329366399999999</v>
      </c>
      <c r="M13" s="5">
        <v>0.39522628999999998</v>
      </c>
      <c r="N13" s="5">
        <v>-3.3684119999999999E-3</v>
      </c>
      <c r="O13" s="5">
        <v>9.4286832000000001E-2</v>
      </c>
      <c r="P13" s="12">
        <v>1.07295615052148E-5</v>
      </c>
      <c r="Q13" s="5">
        <v>-7.5735974999999997E-2</v>
      </c>
      <c r="R13">
        <v>0</v>
      </c>
      <c r="S13" t="b">
        <v>1</v>
      </c>
      <c r="T13" s="1">
        <v>45322.666666666664</v>
      </c>
      <c r="U13" s="1">
        <v>45338.666666666664</v>
      </c>
      <c r="V13" s="3">
        <f t="shared" si="0"/>
        <v>4.3835616438356165E-2</v>
      </c>
      <c r="W13">
        <v>3.7900000000000003E-2</v>
      </c>
      <c r="X13" s="7">
        <v>0.41020251756113801</v>
      </c>
      <c r="Y13" s="3">
        <f t="shared" si="1"/>
        <v>0.21801039920246174</v>
      </c>
      <c r="Z13" s="9">
        <f t="shared" si="2"/>
        <v>0.12203305270674787</v>
      </c>
      <c r="AA13" s="3">
        <f t="shared" si="3"/>
        <v>4.3835616438356165E-2</v>
      </c>
      <c r="AB13" s="3">
        <f t="shared" si="4"/>
        <v>8.5883924319292745E-2</v>
      </c>
      <c r="AC13" s="3">
        <f t="shared" si="5"/>
        <v>2.6007171314543842</v>
      </c>
      <c r="AD13" s="3">
        <f t="shared" si="6"/>
        <v>0.99534854367452974</v>
      </c>
      <c r="AE13" s="3">
        <f t="shared" si="7"/>
        <v>4.6514563254702211E-3</v>
      </c>
      <c r="AF13" s="3">
        <f t="shared" si="8"/>
        <v>-4.6233052706747865E-2</v>
      </c>
      <c r="AG13" s="3">
        <f t="shared" si="9"/>
        <v>2.5148332071350912</v>
      </c>
      <c r="AH13" s="3">
        <f t="shared" si="10"/>
        <v>0.99404556454579929</v>
      </c>
      <c r="AI13" s="3">
        <f t="shared" si="11"/>
        <v>5.9544354542006806E-3</v>
      </c>
      <c r="AJ13" s="20" t="str">
        <f t="shared" si="12"/>
        <v>Put</v>
      </c>
      <c r="AK13" s="20">
        <f t="shared" si="13"/>
        <v>0.60000022968414868</v>
      </c>
      <c r="AL13" s="3">
        <f t="shared" si="14"/>
        <v>0.60000022968414868</v>
      </c>
      <c r="AM13" s="3">
        <f t="shared" si="15"/>
        <v>0.6</v>
      </c>
      <c r="AN13" s="5">
        <f t="shared" si="16"/>
        <v>0.39522628999999998</v>
      </c>
      <c r="AO13" s="5">
        <f t="shared" si="17"/>
        <v>-2.2968414870039311E-7</v>
      </c>
      <c r="AP13" s="5">
        <f t="shared" si="18"/>
        <v>2.6007171314543842</v>
      </c>
      <c r="AQ13" s="5">
        <f t="shared" si="19"/>
        <v>2.5148332071350912</v>
      </c>
      <c r="AR13" s="5">
        <f t="shared" si="20"/>
        <v>0.6</v>
      </c>
      <c r="AS13" s="5">
        <f t="shared" si="21"/>
        <v>0.39522628999999998</v>
      </c>
    </row>
    <row r="14" spans="1:45" x14ac:dyDescent="0.25">
      <c r="A14" s="1">
        <v>45322.666666666664</v>
      </c>
      <c r="B14">
        <v>20240216</v>
      </c>
      <c r="C14">
        <v>4663.5</v>
      </c>
      <c r="D14">
        <v>4648.2287960000003</v>
      </c>
      <c r="E14" t="s">
        <v>40</v>
      </c>
      <c r="F14">
        <v>3775</v>
      </c>
      <c r="G14">
        <v>10</v>
      </c>
      <c r="H14" t="s">
        <v>41</v>
      </c>
      <c r="I14" s="3">
        <v>0.3</v>
      </c>
      <c r="J14" s="3">
        <v>0.6</v>
      </c>
      <c r="K14" s="5">
        <v>39.688750550000002</v>
      </c>
      <c r="L14" s="5">
        <v>0.64329366399999999</v>
      </c>
      <c r="M14" s="5">
        <v>0.433188833</v>
      </c>
      <c r="N14" s="5">
        <v>-3.729502E-3</v>
      </c>
      <c r="O14" s="5">
        <v>0.103312877</v>
      </c>
      <c r="P14" s="12">
        <v>1.27529745919531E-5</v>
      </c>
      <c r="Q14" s="5">
        <v>-8.6684166000000007E-2</v>
      </c>
      <c r="R14">
        <v>0</v>
      </c>
      <c r="S14" t="b">
        <v>1</v>
      </c>
      <c r="T14" s="1">
        <v>45322.666666666664</v>
      </c>
      <c r="U14" s="1">
        <v>45338.666666666664</v>
      </c>
      <c r="V14" s="3">
        <f t="shared" si="0"/>
        <v>4.3835616438356165E-2</v>
      </c>
      <c r="W14">
        <v>3.7900000000000003E-2</v>
      </c>
      <c r="X14" s="7">
        <v>0.39900144504516349</v>
      </c>
      <c r="Y14" s="3">
        <f t="shared" si="1"/>
        <v>0.21136585648379314</v>
      </c>
      <c r="Z14" s="9">
        <f t="shared" si="2"/>
        <v>0.11750107657406432</v>
      </c>
      <c r="AA14" s="3">
        <f t="shared" si="3"/>
        <v>4.3835616438356165E-2</v>
      </c>
      <c r="AB14" s="3">
        <f t="shared" si="4"/>
        <v>8.3538760593881226E-2</v>
      </c>
      <c r="AC14" s="3">
        <f t="shared" si="5"/>
        <v>2.5918099223445559</v>
      </c>
      <c r="AD14" s="3">
        <f t="shared" si="6"/>
        <v>0.9952263747721154</v>
      </c>
      <c r="AE14" s="3">
        <f t="shared" si="7"/>
        <v>4.7736252278845785E-3</v>
      </c>
      <c r="AF14" s="3">
        <f t="shared" si="8"/>
        <v>-4.1701076574064314E-2</v>
      </c>
      <c r="AG14" s="3">
        <f t="shared" si="9"/>
        <v>2.5082711617506743</v>
      </c>
      <c r="AH14" s="3">
        <f t="shared" si="10"/>
        <v>0.99393382379845474</v>
      </c>
      <c r="AI14" s="3">
        <f t="shared" si="11"/>
        <v>6.0661762015452175E-3</v>
      </c>
      <c r="AJ14" s="20" t="str">
        <f t="shared" si="12"/>
        <v>Put</v>
      </c>
      <c r="AK14" s="20">
        <f t="shared" si="13"/>
        <v>0.60000043378262546</v>
      </c>
      <c r="AL14" s="3">
        <f t="shared" si="14"/>
        <v>0.60000043378262546</v>
      </c>
      <c r="AM14" s="3">
        <f t="shared" si="15"/>
        <v>0.6</v>
      </c>
      <c r="AN14" s="5">
        <f t="shared" si="16"/>
        <v>0.433188833</v>
      </c>
      <c r="AO14" s="5">
        <f t="shared" si="17"/>
        <v>-4.3378262548632307E-7</v>
      </c>
      <c r="AP14" s="5">
        <f t="shared" si="18"/>
        <v>2.5918099223445559</v>
      </c>
      <c r="AQ14" s="5">
        <f t="shared" si="19"/>
        <v>2.5082711617506743</v>
      </c>
      <c r="AR14" s="5">
        <f t="shared" si="20"/>
        <v>0.6</v>
      </c>
      <c r="AS14" s="5">
        <f t="shared" si="21"/>
        <v>0.433188833</v>
      </c>
    </row>
    <row r="15" spans="1:45" x14ac:dyDescent="0.25">
      <c r="A15" s="1">
        <v>45322.666666666664</v>
      </c>
      <c r="B15">
        <v>20240216</v>
      </c>
      <c r="C15">
        <v>4663.5</v>
      </c>
      <c r="D15">
        <v>4648.2287960000003</v>
      </c>
      <c r="E15" t="s">
        <v>40</v>
      </c>
      <c r="F15">
        <v>3800</v>
      </c>
      <c r="G15">
        <v>10</v>
      </c>
      <c r="H15" t="s">
        <v>41</v>
      </c>
      <c r="I15" s="3">
        <v>0.4</v>
      </c>
      <c r="J15" s="3">
        <v>0.6</v>
      </c>
      <c r="K15" s="5">
        <v>38.960480859999997</v>
      </c>
      <c r="L15" s="5">
        <v>0.64329366399999999</v>
      </c>
      <c r="M15" s="5">
        <v>0.47842179499999998</v>
      </c>
      <c r="N15" s="5">
        <v>-4.15614E-3</v>
      </c>
      <c r="O15" s="5">
        <v>0.113837551</v>
      </c>
      <c r="P15" s="12">
        <v>1.4701578538317E-5</v>
      </c>
      <c r="Q15" s="5">
        <v>-9.6295504000000004E-2</v>
      </c>
      <c r="R15">
        <v>0</v>
      </c>
      <c r="S15" t="b">
        <v>1</v>
      </c>
      <c r="T15" s="1">
        <v>45322.666666666664</v>
      </c>
      <c r="U15" s="1">
        <v>45338.666666666664</v>
      </c>
      <c r="V15" s="3">
        <f t="shared" si="0"/>
        <v>4.3835616438356165E-2</v>
      </c>
      <c r="W15">
        <v>3.7900000000000003E-2</v>
      </c>
      <c r="X15" s="7">
        <v>0.3878502561659245</v>
      </c>
      <c r="Y15" s="3">
        <f t="shared" si="1"/>
        <v>0.204765172452441</v>
      </c>
      <c r="Z15" s="9">
        <f t="shared" si="2"/>
        <v>0.11311391060398664</v>
      </c>
      <c r="AA15" s="3">
        <f t="shared" si="3"/>
        <v>4.3835616438356165E-2</v>
      </c>
      <c r="AB15" s="3">
        <f t="shared" si="4"/>
        <v>8.120404098399496E-2</v>
      </c>
      <c r="AC15" s="3">
        <f t="shared" si="5"/>
        <v>2.5826743091868503</v>
      </c>
      <c r="AD15" s="3">
        <f t="shared" si="6"/>
        <v>0.9950981088055002</v>
      </c>
      <c r="AE15" s="3">
        <f t="shared" si="7"/>
        <v>4.9018911944997967E-3</v>
      </c>
      <c r="AF15" s="3">
        <f t="shared" si="8"/>
        <v>-3.731391060398663E-2</v>
      </c>
      <c r="AG15" s="3">
        <f t="shared" si="9"/>
        <v>2.5014702682028553</v>
      </c>
      <c r="AH15" s="3">
        <f t="shared" si="10"/>
        <v>0.99381605866239886</v>
      </c>
      <c r="AI15" s="3">
        <f t="shared" si="11"/>
        <v>6.1839413376011659E-3</v>
      </c>
      <c r="AJ15" s="20" t="str">
        <f t="shared" si="12"/>
        <v>Put</v>
      </c>
      <c r="AK15" s="20">
        <f t="shared" si="13"/>
        <v>0.5999994173940344</v>
      </c>
      <c r="AL15" s="3">
        <f t="shared" si="14"/>
        <v>0.5999994173940344</v>
      </c>
      <c r="AM15" s="3">
        <f t="shared" si="15"/>
        <v>0.6</v>
      </c>
      <c r="AN15" s="5">
        <f t="shared" si="16"/>
        <v>0.47842179499999998</v>
      </c>
      <c r="AO15" s="5">
        <f t="shared" si="17"/>
        <v>5.8260596558223909E-7</v>
      </c>
      <c r="AP15" s="5">
        <f t="shared" si="18"/>
        <v>2.5826743091868503</v>
      </c>
      <c r="AQ15" s="5">
        <f t="shared" si="19"/>
        <v>2.5014702682028553</v>
      </c>
      <c r="AR15" s="5">
        <f t="shared" si="20"/>
        <v>0.6</v>
      </c>
      <c r="AS15" s="5">
        <f t="shared" si="21"/>
        <v>0.47842179499999998</v>
      </c>
    </row>
    <row r="16" spans="1:45" x14ac:dyDescent="0.25">
      <c r="A16" s="1">
        <v>45322.666666666664</v>
      </c>
      <c r="B16">
        <v>20240216</v>
      </c>
      <c r="C16">
        <v>4663.5</v>
      </c>
      <c r="D16">
        <v>4648.2287960000003</v>
      </c>
      <c r="E16" t="s">
        <v>40</v>
      </c>
      <c r="F16">
        <v>3825</v>
      </c>
      <c r="G16">
        <v>10</v>
      </c>
      <c r="H16" t="s">
        <v>41</v>
      </c>
      <c r="I16" s="3">
        <v>0.4</v>
      </c>
      <c r="J16" s="3">
        <v>0.7</v>
      </c>
      <c r="K16" s="5">
        <v>38.226553809999999</v>
      </c>
      <c r="L16" s="5">
        <v>0.64329366399999999</v>
      </c>
      <c r="M16" s="5">
        <v>0.52821476099999998</v>
      </c>
      <c r="N16" s="5">
        <v>-4.6316179999999997E-3</v>
      </c>
      <c r="O16" s="5">
        <v>0.12540473699999999</v>
      </c>
      <c r="P16" s="12">
        <v>1.5973389158795999E-5</v>
      </c>
      <c r="Q16" s="5">
        <v>-0.100721177</v>
      </c>
      <c r="R16">
        <v>0</v>
      </c>
      <c r="S16" t="b">
        <v>1</v>
      </c>
      <c r="T16" s="1">
        <v>45322.666666666664</v>
      </c>
      <c r="U16" s="1">
        <v>45338.666666666664</v>
      </c>
      <c r="V16" s="3">
        <f t="shared" si="0"/>
        <v>4.3835616438356165E-2</v>
      </c>
      <c r="W16">
        <v>3.7900000000000003E-2</v>
      </c>
      <c r="X16" s="7">
        <v>0.38339985554475187</v>
      </c>
      <c r="Y16" s="3">
        <f t="shared" si="1"/>
        <v>0.198207771906282</v>
      </c>
      <c r="Z16" s="9">
        <f t="shared" si="2"/>
        <v>0.1113977246158683</v>
      </c>
      <c r="AA16" s="3">
        <f t="shared" si="3"/>
        <v>4.3835616438356165E-2</v>
      </c>
      <c r="AB16" s="3">
        <f t="shared" si="4"/>
        <v>8.0272262523902127E-2</v>
      </c>
      <c r="AC16" s="3">
        <f t="shared" si="5"/>
        <v>2.5300266050701614</v>
      </c>
      <c r="AD16" s="3">
        <f t="shared" si="6"/>
        <v>0.99429730610329026</v>
      </c>
      <c r="AE16" s="3">
        <f t="shared" si="7"/>
        <v>5.7026938967097898E-3</v>
      </c>
      <c r="AF16" s="3">
        <f t="shared" si="8"/>
        <v>-3.5597724615868298E-2</v>
      </c>
      <c r="AG16" s="3">
        <f t="shared" si="9"/>
        <v>2.4497543425462589</v>
      </c>
      <c r="AH16" s="3">
        <f t="shared" si="10"/>
        <v>0.99285231460402246</v>
      </c>
      <c r="AI16" s="3">
        <f t="shared" si="11"/>
        <v>7.1476853959775979E-3</v>
      </c>
      <c r="AJ16" s="20" t="str">
        <f t="shared" si="12"/>
        <v>Put</v>
      </c>
      <c r="AK16" s="20">
        <f t="shared" si="13"/>
        <v>0.69999968219223163</v>
      </c>
      <c r="AL16" s="3">
        <f t="shared" si="14"/>
        <v>0.69999968219223163</v>
      </c>
      <c r="AM16" s="3">
        <f t="shared" si="15"/>
        <v>0.7</v>
      </c>
      <c r="AN16" s="5">
        <f t="shared" si="16"/>
        <v>0.52821476099999998</v>
      </c>
      <c r="AO16" s="5">
        <f t="shared" si="17"/>
        <v>3.1780776832412982E-7</v>
      </c>
      <c r="AP16" s="5">
        <f t="shared" si="18"/>
        <v>2.5300266050701614</v>
      </c>
      <c r="AQ16" s="5">
        <f t="shared" si="19"/>
        <v>2.4497543425462589</v>
      </c>
      <c r="AR16" s="5">
        <f t="shared" si="20"/>
        <v>0.7</v>
      </c>
      <c r="AS16" s="5">
        <f t="shared" si="21"/>
        <v>0.52821476099999998</v>
      </c>
    </row>
    <row r="17" spans="1:45" x14ac:dyDescent="0.25">
      <c r="A17" s="1">
        <v>45322.666666666664</v>
      </c>
      <c r="B17">
        <v>20240216</v>
      </c>
      <c r="C17">
        <v>4663.5</v>
      </c>
      <c r="D17">
        <v>4648.2287960000003</v>
      </c>
      <c r="E17" t="s">
        <v>40</v>
      </c>
      <c r="F17">
        <v>3850</v>
      </c>
      <c r="G17">
        <v>10</v>
      </c>
      <c r="H17" t="s">
        <v>41</v>
      </c>
      <c r="I17" s="3">
        <v>0.5</v>
      </c>
      <c r="J17" s="3">
        <v>0.7</v>
      </c>
      <c r="K17" s="5">
        <v>37.454335649999997</v>
      </c>
      <c r="L17" s="5">
        <v>0.64329366399999999</v>
      </c>
      <c r="M17" s="5">
        <v>0.57856918199999996</v>
      </c>
      <c r="N17" s="5">
        <v>-5.1298910000000001E-3</v>
      </c>
      <c r="O17" s="5">
        <v>0.1373595</v>
      </c>
      <c r="P17" s="12">
        <v>1.6795732473756E-5</v>
      </c>
      <c r="Q17" s="5">
        <v>-0.10167087700000001</v>
      </c>
      <c r="R17">
        <v>0</v>
      </c>
      <c r="S17" t="b">
        <v>1</v>
      </c>
      <c r="T17" s="1">
        <v>45322.666666666664</v>
      </c>
      <c r="U17" s="1">
        <v>45338.666666666664</v>
      </c>
      <c r="V17" s="3">
        <f t="shared" si="0"/>
        <v>4.3835616438356165E-2</v>
      </c>
      <c r="W17">
        <v>3.7900000000000003E-2</v>
      </c>
      <c r="X17" s="7">
        <v>0.3721815278105492</v>
      </c>
      <c r="Y17" s="3">
        <f t="shared" si="1"/>
        <v>0.19169309088508829</v>
      </c>
      <c r="Z17" s="9">
        <f t="shared" si="2"/>
        <v>0.1071595448216973</v>
      </c>
      <c r="AA17" s="3">
        <f t="shared" si="3"/>
        <v>4.3835616438356165E-2</v>
      </c>
      <c r="AB17" s="3">
        <f t="shared" si="4"/>
        <v>7.7923486080886548E-2</v>
      </c>
      <c r="AC17" s="3">
        <f t="shared" si="5"/>
        <v>2.5202991481379922</v>
      </c>
      <c r="AD17" s="3">
        <f t="shared" si="6"/>
        <v>0.99413724323502195</v>
      </c>
      <c r="AE17" s="3">
        <f t="shared" si="7"/>
        <v>5.8627567649780134E-3</v>
      </c>
      <c r="AF17" s="3">
        <f t="shared" si="8"/>
        <v>-3.1359544821697297E-2</v>
      </c>
      <c r="AG17" s="3">
        <f t="shared" si="9"/>
        <v>2.4423756620571053</v>
      </c>
      <c r="AH17" s="3">
        <f t="shared" si="10"/>
        <v>0.99270452260403674</v>
      </c>
      <c r="AI17" s="3">
        <f t="shared" si="11"/>
        <v>7.2954773959632152E-3</v>
      </c>
      <c r="AJ17" s="20" t="str">
        <f t="shared" si="12"/>
        <v>Put</v>
      </c>
      <c r="AK17" s="20">
        <f t="shared" si="13"/>
        <v>0.6999966703157412</v>
      </c>
      <c r="AL17" s="3">
        <f t="shared" si="14"/>
        <v>0.6999966703157412</v>
      </c>
      <c r="AM17" s="3">
        <f t="shared" si="15"/>
        <v>0.7</v>
      </c>
      <c r="AN17" s="5">
        <f t="shared" si="16"/>
        <v>0.57856918199999996</v>
      </c>
      <c r="AO17" s="5">
        <f t="shared" si="17"/>
        <v>3.3296842587571263E-6</v>
      </c>
      <c r="AP17" s="5">
        <f t="shared" si="18"/>
        <v>2.5202991481379922</v>
      </c>
      <c r="AQ17" s="5">
        <f t="shared" si="19"/>
        <v>2.4423756620571053</v>
      </c>
      <c r="AR17" s="5">
        <f t="shared" si="20"/>
        <v>0.7</v>
      </c>
      <c r="AS17" s="5">
        <f t="shared" si="21"/>
        <v>0.57856918199999996</v>
      </c>
    </row>
    <row r="18" spans="1:45" x14ac:dyDescent="0.25">
      <c r="A18" s="1">
        <v>45322.666666666664</v>
      </c>
      <c r="B18">
        <v>20240216</v>
      </c>
      <c r="C18">
        <v>4663.5</v>
      </c>
      <c r="D18">
        <v>4648.2287960000003</v>
      </c>
      <c r="E18" t="s">
        <v>40</v>
      </c>
      <c r="F18">
        <v>3875</v>
      </c>
      <c r="G18">
        <v>10</v>
      </c>
      <c r="H18" t="s">
        <v>41</v>
      </c>
      <c r="I18" s="3">
        <v>0.5</v>
      </c>
      <c r="J18" s="3">
        <v>0.8</v>
      </c>
      <c r="K18" s="5">
        <v>36.64459995</v>
      </c>
      <c r="L18" s="5">
        <v>0.64329366399999999</v>
      </c>
      <c r="M18" s="5">
        <v>0.62887853599999999</v>
      </c>
      <c r="N18" s="5">
        <v>-5.6488500000000004E-3</v>
      </c>
      <c r="O18" s="5">
        <v>0.14964472000000001</v>
      </c>
      <c r="P18" s="12">
        <v>1.7551813849870398E-5</v>
      </c>
      <c r="Q18" s="5">
        <v>-0.10170338299999999</v>
      </c>
      <c r="R18">
        <v>0</v>
      </c>
      <c r="S18" t="b">
        <v>1</v>
      </c>
      <c r="T18" s="1">
        <v>45322.666666666664</v>
      </c>
      <c r="U18" s="1">
        <v>45338.666666666664</v>
      </c>
      <c r="V18" s="3">
        <f t="shared" si="0"/>
        <v>4.3835616438356165E-2</v>
      </c>
      <c r="W18">
        <v>3.7900000000000003E-2</v>
      </c>
      <c r="X18" s="7">
        <v>0.36672350714951413</v>
      </c>
      <c r="Y18" s="3">
        <f t="shared" si="1"/>
        <v>0.1852205763794709</v>
      </c>
      <c r="Z18" s="9">
        <f t="shared" si="2"/>
        <v>0.10514306534801987</v>
      </c>
      <c r="AA18" s="3">
        <f t="shared" si="3"/>
        <v>4.3835616438356165E-2</v>
      </c>
      <c r="AB18" s="3">
        <f t="shared" si="4"/>
        <v>7.6780742647295577E-2</v>
      </c>
      <c r="AC18" s="3">
        <f t="shared" si="5"/>
        <v>2.4723593562416006</v>
      </c>
      <c r="AD18" s="3">
        <f t="shared" si="6"/>
        <v>0.99328877416359773</v>
      </c>
      <c r="AE18" s="3">
        <f t="shared" si="7"/>
        <v>6.7112258364023175E-3</v>
      </c>
      <c r="AF18" s="3">
        <f t="shared" si="8"/>
        <v>-2.9343065348019864E-2</v>
      </c>
      <c r="AG18" s="3">
        <f t="shared" si="9"/>
        <v>2.3955786135943051</v>
      </c>
      <c r="AH18" s="3">
        <f t="shared" si="10"/>
        <v>0.99170292232604174</v>
      </c>
      <c r="AI18" s="3">
        <f t="shared" si="11"/>
        <v>8.2970776739582242E-3</v>
      </c>
      <c r="AJ18" s="20" t="str">
        <f t="shared" si="12"/>
        <v>Put</v>
      </c>
      <c r="AK18" s="20">
        <f t="shared" si="13"/>
        <v>0.80000365015065</v>
      </c>
      <c r="AL18" s="3">
        <f t="shared" si="14"/>
        <v>0.80000365015065</v>
      </c>
      <c r="AM18" s="3">
        <f t="shared" si="15"/>
        <v>0.8</v>
      </c>
      <c r="AN18" s="5">
        <f t="shared" si="16"/>
        <v>0.62887853599999999</v>
      </c>
      <c r="AO18" s="5">
        <f t="shared" si="17"/>
        <v>-3.6501506499586611E-6</v>
      </c>
      <c r="AP18" s="5">
        <f t="shared" si="18"/>
        <v>2.4723593562416006</v>
      </c>
      <c r="AQ18" s="5">
        <f t="shared" si="19"/>
        <v>2.3955786135943051</v>
      </c>
      <c r="AR18" s="5">
        <f t="shared" si="20"/>
        <v>0.8</v>
      </c>
      <c r="AS18" s="5">
        <f t="shared" si="21"/>
        <v>0.62887853599999999</v>
      </c>
    </row>
    <row r="19" spans="1:45" x14ac:dyDescent="0.25">
      <c r="A19" s="1">
        <v>45322.666666666664</v>
      </c>
      <c r="B19">
        <v>20240216</v>
      </c>
      <c r="C19">
        <v>4663.5</v>
      </c>
      <c r="D19">
        <v>4648.2287960000003</v>
      </c>
      <c r="E19" t="s">
        <v>40</v>
      </c>
      <c r="F19">
        <v>3900</v>
      </c>
      <c r="G19">
        <v>10</v>
      </c>
      <c r="H19" t="s">
        <v>41</v>
      </c>
      <c r="I19" s="3">
        <v>0.5</v>
      </c>
      <c r="J19" s="3">
        <v>0.8</v>
      </c>
      <c r="K19" s="5">
        <v>35.798101789999997</v>
      </c>
      <c r="L19" s="5">
        <v>0.64329366399999999</v>
      </c>
      <c r="M19" s="5">
        <v>0.67849021300000001</v>
      </c>
      <c r="N19" s="5">
        <v>-6.186057E-3</v>
      </c>
      <c r="O19" s="5">
        <v>0.16219823899999999</v>
      </c>
      <c r="P19" s="12">
        <v>1.86004216274043E-5</v>
      </c>
      <c r="Q19" s="5">
        <v>-0.102857559</v>
      </c>
      <c r="R19">
        <v>0</v>
      </c>
      <c r="S19" t="b">
        <v>1</v>
      </c>
      <c r="T19" s="1">
        <v>45322.666666666664</v>
      </c>
      <c r="U19" s="1">
        <v>45338.666666666664</v>
      </c>
      <c r="V19" s="3">
        <f t="shared" si="0"/>
        <v>4.3835616438356165E-2</v>
      </c>
      <c r="W19">
        <v>3.7900000000000003E-2</v>
      </c>
      <c r="X19" s="7">
        <v>0.35544831413295469</v>
      </c>
      <c r="Y19" s="3">
        <f t="shared" si="1"/>
        <v>0.17878968604918033</v>
      </c>
      <c r="Z19" s="9">
        <f t="shared" si="2"/>
        <v>0.10107175200997982</v>
      </c>
      <c r="AA19" s="3">
        <f t="shared" si="3"/>
        <v>4.3835616438356165E-2</v>
      </c>
      <c r="AB19" s="3">
        <f t="shared" si="4"/>
        <v>7.4420060344619857E-2</v>
      </c>
      <c r="AC19" s="3">
        <f t="shared" si="5"/>
        <v>2.4619736634799469</v>
      </c>
      <c r="AD19" s="3">
        <f t="shared" si="6"/>
        <v>0.99309125937177523</v>
      </c>
      <c r="AE19" s="3">
        <f t="shared" si="7"/>
        <v>6.9087406282247899E-3</v>
      </c>
      <c r="AF19" s="3">
        <f t="shared" si="8"/>
        <v>-2.5271752009979817E-2</v>
      </c>
      <c r="AG19" s="3">
        <f t="shared" si="9"/>
        <v>2.3875536031353271</v>
      </c>
      <c r="AH19" s="3">
        <f t="shared" si="10"/>
        <v>0.99151953542084081</v>
      </c>
      <c r="AI19" s="3">
        <f t="shared" si="11"/>
        <v>8.4804645791591686E-3</v>
      </c>
      <c r="AJ19" s="20" t="str">
        <f t="shared" si="12"/>
        <v>Put</v>
      </c>
      <c r="AK19" s="20">
        <f t="shared" si="13"/>
        <v>0.7999977237884579</v>
      </c>
      <c r="AL19" s="3">
        <f t="shared" si="14"/>
        <v>0.7999977237884579</v>
      </c>
      <c r="AM19" s="3">
        <f t="shared" si="15"/>
        <v>0.8</v>
      </c>
      <c r="AN19" s="5">
        <f t="shared" si="16"/>
        <v>0.67849021300000001</v>
      </c>
      <c r="AO19" s="5">
        <f t="shared" si="17"/>
        <v>2.2762115421404161E-6</v>
      </c>
      <c r="AP19" s="5">
        <f t="shared" si="18"/>
        <v>2.4619736634799469</v>
      </c>
      <c r="AQ19" s="5">
        <f t="shared" si="19"/>
        <v>2.3875536031353271</v>
      </c>
      <c r="AR19" s="5">
        <f t="shared" si="20"/>
        <v>0.8</v>
      </c>
      <c r="AS19" s="5">
        <f t="shared" si="21"/>
        <v>0.67849021300000001</v>
      </c>
    </row>
    <row r="20" spans="1:45" x14ac:dyDescent="0.25">
      <c r="A20" s="1">
        <v>45322.666666666664</v>
      </c>
      <c r="B20">
        <v>20240216</v>
      </c>
      <c r="C20">
        <v>4663.5</v>
      </c>
      <c r="D20">
        <v>4648.2287960000003</v>
      </c>
      <c r="E20" t="s">
        <v>40</v>
      </c>
      <c r="F20">
        <v>3925</v>
      </c>
      <c r="G20">
        <v>10</v>
      </c>
      <c r="H20" t="s">
        <v>41</v>
      </c>
      <c r="I20" s="3">
        <v>0.6</v>
      </c>
      <c r="J20" s="3">
        <v>0.9</v>
      </c>
      <c r="K20" s="5">
        <v>34.932731230000002</v>
      </c>
      <c r="L20" s="5">
        <v>0.64329366399999999</v>
      </c>
      <c r="M20" s="5">
        <v>0.72971641200000004</v>
      </c>
      <c r="N20" s="5">
        <v>-6.7609410000000003E-3</v>
      </c>
      <c r="O20" s="5">
        <v>0.17546223799999999</v>
      </c>
      <c r="P20" s="12">
        <v>2.0437922511708199E-5</v>
      </c>
      <c r="Q20" s="5">
        <v>-0.107620563</v>
      </c>
      <c r="R20">
        <v>0</v>
      </c>
      <c r="S20" t="b">
        <v>1</v>
      </c>
      <c r="T20" s="1">
        <v>45322.666666666664</v>
      </c>
      <c r="U20" s="1">
        <v>45338.666666666664</v>
      </c>
      <c r="V20" s="3">
        <f t="shared" si="0"/>
        <v>4.3835616438356165E-2</v>
      </c>
      <c r="W20">
        <v>3.7900000000000003E-2</v>
      </c>
      <c r="X20" s="7">
        <v>0.34918209969868041</v>
      </c>
      <c r="Y20" s="3">
        <f t="shared" si="1"/>
        <v>0.17239988795040936</v>
      </c>
      <c r="Z20" s="9">
        <f t="shared" si="2"/>
        <v>9.8864069374989594E-2</v>
      </c>
      <c r="AA20" s="3">
        <f t="shared" si="3"/>
        <v>4.3835616438356165E-2</v>
      </c>
      <c r="AB20" s="3">
        <f t="shared" si="4"/>
        <v>7.310810572902815E-2</v>
      </c>
      <c r="AC20" s="3">
        <f t="shared" si="5"/>
        <v>2.4174290061641268</v>
      </c>
      <c r="AD20" s="3">
        <f t="shared" si="6"/>
        <v>0.9921847086237594</v>
      </c>
      <c r="AE20" s="3">
        <f t="shared" si="7"/>
        <v>7.8152913762405546E-3</v>
      </c>
      <c r="AF20" s="3">
        <f t="shared" si="8"/>
        <v>-2.3064069374989594E-2</v>
      </c>
      <c r="AG20" s="3">
        <f t="shared" si="9"/>
        <v>2.3443209004350991</v>
      </c>
      <c r="AH20" s="3">
        <f t="shared" si="10"/>
        <v>0.99046911851804675</v>
      </c>
      <c r="AI20" s="3">
        <f t="shared" si="11"/>
        <v>9.5308814819531924E-3</v>
      </c>
      <c r="AJ20" s="20" t="str">
        <f t="shared" si="12"/>
        <v>Put</v>
      </c>
      <c r="AK20" s="20">
        <f t="shared" si="13"/>
        <v>0.90000037870814253</v>
      </c>
      <c r="AL20" s="3">
        <f t="shared" si="14"/>
        <v>0.90000037870814253</v>
      </c>
      <c r="AM20" s="3">
        <f t="shared" si="15"/>
        <v>0.9</v>
      </c>
      <c r="AN20" s="5">
        <f t="shared" si="16"/>
        <v>0.72971641200000004</v>
      </c>
      <c r="AO20" s="5">
        <f t="shared" si="17"/>
        <v>-3.7870814251217411E-7</v>
      </c>
      <c r="AP20" s="5">
        <f t="shared" si="18"/>
        <v>2.4174290061641268</v>
      </c>
      <c r="AQ20" s="5">
        <f t="shared" si="19"/>
        <v>2.3443209004350991</v>
      </c>
      <c r="AR20" s="5">
        <f t="shared" si="20"/>
        <v>0.9</v>
      </c>
      <c r="AS20" s="5">
        <f t="shared" si="21"/>
        <v>0.72971641200000004</v>
      </c>
    </row>
    <row r="21" spans="1:45" x14ac:dyDescent="0.25">
      <c r="A21" s="1">
        <v>45322.666666666664</v>
      </c>
      <c r="B21">
        <v>20240216</v>
      </c>
      <c r="C21">
        <v>4663.5</v>
      </c>
      <c r="D21">
        <v>4648.2287960000003</v>
      </c>
      <c r="E21" t="s">
        <v>40</v>
      </c>
      <c r="F21">
        <v>3950</v>
      </c>
      <c r="G21">
        <v>10</v>
      </c>
      <c r="H21" t="s">
        <v>41</v>
      </c>
      <c r="I21" s="3">
        <v>0.7</v>
      </c>
      <c r="J21" s="3">
        <v>0.9</v>
      </c>
      <c r="K21" s="5">
        <v>34.06592594</v>
      </c>
      <c r="L21" s="5">
        <v>0.64329366399999999</v>
      </c>
      <c r="M21" s="5">
        <v>0.78569393399999998</v>
      </c>
      <c r="N21" s="5">
        <v>-7.4002260000000002E-3</v>
      </c>
      <c r="O21" s="5">
        <v>0.19002155000000001</v>
      </c>
      <c r="P21" s="12">
        <v>2.29080407941116E-5</v>
      </c>
      <c r="Q21" s="5">
        <v>-0.114715412</v>
      </c>
      <c r="R21">
        <v>0</v>
      </c>
      <c r="S21" t="b">
        <v>1</v>
      </c>
      <c r="T21" s="1">
        <v>45322.666666666664</v>
      </c>
      <c r="U21" s="1">
        <v>45338.666666666664</v>
      </c>
      <c r="V21" s="3">
        <f t="shared" si="0"/>
        <v>4.3835616438356165E-2</v>
      </c>
      <c r="W21">
        <v>3.7900000000000003E-2</v>
      </c>
      <c r="X21" s="7">
        <v>0.3378563337048392</v>
      </c>
      <c r="Y21" s="3">
        <f t="shared" si="1"/>
        <v>0.16605066027175058</v>
      </c>
      <c r="Z21" s="9">
        <f t="shared" si="2"/>
        <v>9.4973451112237831E-2</v>
      </c>
      <c r="AA21" s="3">
        <f t="shared" si="3"/>
        <v>4.3835616438356165E-2</v>
      </c>
      <c r="AB21" s="3">
        <f t="shared" si="4"/>
        <v>7.0736834983894062E-2</v>
      </c>
      <c r="AC21" s="3">
        <f t="shared" si="5"/>
        <v>2.4062976536240179</v>
      </c>
      <c r="AD21" s="3">
        <f t="shared" si="6"/>
        <v>0.99194243568566776</v>
      </c>
      <c r="AE21" s="3">
        <f t="shared" si="7"/>
        <v>8.0575643143322283E-3</v>
      </c>
      <c r="AF21" s="3">
        <f t="shared" si="8"/>
        <v>-1.9173451112237824E-2</v>
      </c>
      <c r="AG21" s="3">
        <f t="shared" si="9"/>
        <v>2.3355608186401233</v>
      </c>
      <c r="AH21" s="3">
        <f t="shared" si="10"/>
        <v>0.99024292866948882</v>
      </c>
      <c r="AI21" s="3">
        <f t="shared" si="11"/>
        <v>9.7570713305111644E-3</v>
      </c>
      <c r="AJ21" s="20" t="str">
        <f t="shared" si="12"/>
        <v>Put</v>
      </c>
      <c r="AK21" s="20">
        <f t="shared" si="13"/>
        <v>0.90000382304439341</v>
      </c>
      <c r="AL21" s="3">
        <f t="shared" si="14"/>
        <v>0.90000382304439341</v>
      </c>
      <c r="AM21" s="3">
        <f t="shared" si="15"/>
        <v>0.9</v>
      </c>
      <c r="AN21" s="5">
        <f t="shared" si="16"/>
        <v>0.78569393399999998</v>
      </c>
      <c r="AO21" s="5">
        <f t="shared" si="17"/>
        <v>-3.8230443933917613E-6</v>
      </c>
      <c r="AP21" s="5">
        <f t="shared" si="18"/>
        <v>2.4062976536240179</v>
      </c>
      <c r="AQ21" s="5">
        <f t="shared" si="19"/>
        <v>2.3355608186401233</v>
      </c>
      <c r="AR21" s="5">
        <f t="shared" si="20"/>
        <v>0.9</v>
      </c>
      <c r="AS21" s="5">
        <f t="shared" si="21"/>
        <v>0.78569393399999998</v>
      </c>
    </row>
    <row r="22" spans="1:45" x14ac:dyDescent="0.25">
      <c r="A22" s="1">
        <v>45322.666666666664</v>
      </c>
      <c r="B22">
        <v>20240216</v>
      </c>
      <c r="C22">
        <v>4663.5</v>
      </c>
      <c r="D22">
        <v>4648.2287960000003</v>
      </c>
      <c r="E22" t="s">
        <v>40</v>
      </c>
      <c r="F22">
        <v>3975</v>
      </c>
      <c r="G22">
        <v>10</v>
      </c>
      <c r="H22" t="s">
        <v>41</v>
      </c>
      <c r="I22" s="3">
        <v>0.7</v>
      </c>
      <c r="J22" s="3">
        <v>0.9</v>
      </c>
      <c r="K22" s="5">
        <v>33.197747620000001</v>
      </c>
      <c r="L22" s="5">
        <v>0.64329366399999999</v>
      </c>
      <c r="M22" s="5">
        <v>0.84704551800000005</v>
      </c>
      <c r="N22" s="5">
        <v>-8.1132400000000007E-3</v>
      </c>
      <c r="O22" s="5">
        <v>0.20604143799999999</v>
      </c>
      <c r="P22" s="12">
        <v>2.5754852753988999E-5</v>
      </c>
      <c r="Q22" s="5">
        <v>-0.122481285</v>
      </c>
      <c r="R22">
        <v>0</v>
      </c>
      <c r="S22" t="b">
        <v>1</v>
      </c>
      <c r="T22" s="1">
        <v>45322.666666666664</v>
      </c>
      <c r="U22" s="1">
        <v>45338.666666666664</v>
      </c>
      <c r="V22" s="3">
        <f t="shared" si="0"/>
        <v>4.3835616438356165E-2</v>
      </c>
      <c r="W22">
        <v>3.7900000000000003E-2</v>
      </c>
      <c r="X22" s="7">
        <v>0.32656733558930889</v>
      </c>
      <c r="Y22" s="3">
        <f t="shared" si="1"/>
        <v>0.15974149107848595</v>
      </c>
      <c r="Z22" s="9">
        <f t="shared" si="2"/>
        <v>9.1223112336950157E-2</v>
      </c>
      <c r="AA22" s="3">
        <f t="shared" si="3"/>
        <v>4.3835616438356165E-2</v>
      </c>
      <c r="AB22" s="3">
        <f t="shared" si="4"/>
        <v>6.8373262313596306E-2</v>
      </c>
      <c r="AC22" s="3">
        <f t="shared" si="5"/>
        <v>2.3948003488586083</v>
      </c>
      <c r="AD22" s="3">
        <f t="shared" si="6"/>
        <v>0.99168529126806926</v>
      </c>
      <c r="AE22" s="3">
        <f t="shared" si="7"/>
        <v>8.31470873193077E-3</v>
      </c>
      <c r="AF22" s="3">
        <f t="shared" si="8"/>
        <v>-1.5423112336950144E-2</v>
      </c>
      <c r="AG22" s="3">
        <f t="shared" si="9"/>
        <v>2.3264270865450123</v>
      </c>
      <c r="AH22" s="3">
        <f t="shared" si="10"/>
        <v>0.99000211098841517</v>
      </c>
      <c r="AI22" s="3">
        <f t="shared" si="11"/>
        <v>9.9978890115847985E-3</v>
      </c>
      <c r="AJ22" s="20" t="str">
        <f t="shared" si="12"/>
        <v>Put</v>
      </c>
      <c r="AK22" s="20">
        <f t="shared" si="13"/>
        <v>0.89999395452393571</v>
      </c>
      <c r="AL22" s="3">
        <f t="shared" si="14"/>
        <v>0.89999395452393571</v>
      </c>
      <c r="AM22" s="3">
        <f t="shared" si="15"/>
        <v>0.9</v>
      </c>
      <c r="AN22" s="5">
        <f t="shared" si="16"/>
        <v>0.84704551800000005</v>
      </c>
      <c r="AO22" s="5">
        <f t="shared" si="17"/>
        <v>6.0454760643091632E-6</v>
      </c>
      <c r="AP22" s="5">
        <f t="shared" si="18"/>
        <v>2.3948003488586083</v>
      </c>
      <c r="AQ22" s="5">
        <f t="shared" si="19"/>
        <v>2.3264270865450123</v>
      </c>
      <c r="AR22" s="5">
        <f t="shared" si="20"/>
        <v>0.9</v>
      </c>
      <c r="AS22" s="5">
        <f t="shared" si="21"/>
        <v>0.84704551800000005</v>
      </c>
    </row>
    <row r="23" spans="1:45" x14ac:dyDescent="0.25">
      <c r="A23" s="1">
        <v>45322.666666666664</v>
      </c>
      <c r="B23">
        <v>20240216</v>
      </c>
      <c r="C23">
        <v>4663.5</v>
      </c>
      <c r="D23">
        <v>4648.2287960000003</v>
      </c>
      <c r="E23" t="s">
        <v>40</v>
      </c>
      <c r="F23">
        <v>4000</v>
      </c>
      <c r="G23">
        <v>10</v>
      </c>
      <c r="H23" t="s">
        <v>41</v>
      </c>
      <c r="I23" s="3">
        <v>0.8</v>
      </c>
      <c r="J23" s="3">
        <v>1</v>
      </c>
      <c r="K23" s="5">
        <v>32.328256230000001</v>
      </c>
      <c r="L23" s="5">
        <v>0.64329366399999999</v>
      </c>
      <c r="M23" s="5">
        <v>0.91450210499999995</v>
      </c>
      <c r="N23" s="5">
        <v>-8.9110149999999996E-3</v>
      </c>
      <c r="O23" s="5">
        <v>0.22371374999999999</v>
      </c>
      <c r="P23" s="12">
        <v>2.9049676558289799E-5</v>
      </c>
      <c r="Q23" s="5">
        <v>-0.131008443</v>
      </c>
      <c r="R23">
        <v>0</v>
      </c>
      <c r="S23" t="b">
        <v>1</v>
      </c>
      <c r="T23" s="1">
        <v>45322.666666666664</v>
      </c>
      <c r="U23" s="1">
        <v>45338.666666666664</v>
      </c>
      <c r="V23" s="3">
        <f t="shared" si="0"/>
        <v>4.3835616438356165E-2</v>
      </c>
      <c r="W23">
        <v>3.7900000000000003E-2</v>
      </c>
      <c r="X23" s="7">
        <v>0.31954561186439517</v>
      </c>
      <c r="Y23" s="3">
        <f t="shared" si="1"/>
        <v>0.15347187806489052</v>
      </c>
      <c r="Z23" s="9">
        <f t="shared" si="2"/>
        <v>8.895469903089534E-2</v>
      </c>
      <c r="AA23" s="3">
        <f t="shared" si="3"/>
        <v>4.3835616438356165E-2</v>
      </c>
      <c r="AB23" s="3">
        <f t="shared" si="4"/>
        <v>6.6903127043420663E-2</v>
      </c>
      <c r="AC23" s="3">
        <f t="shared" si="5"/>
        <v>2.3522258089649988</v>
      </c>
      <c r="AD23" s="3">
        <f t="shared" si="6"/>
        <v>0.99066927881390332</v>
      </c>
      <c r="AE23" s="3">
        <f t="shared" si="7"/>
        <v>9.3307211860966244E-3</v>
      </c>
      <c r="AF23" s="3">
        <f t="shared" si="8"/>
        <v>-1.3154699030895341E-2</v>
      </c>
      <c r="AG23" s="3">
        <f t="shared" si="9"/>
        <v>2.2853226819215782</v>
      </c>
      <c r="AH23" s="3">
        <f t="shared" si="10"/>
        <v>0.9888530430459318</v>
      </c>
      <c r="AI23" s="3">
        <f t="shared" si="11"/>
        <v>1.1146956954068248E-2</v>
      </c>
      <c r="AJ23" s="20" t="str">
        <f t="shared" si="12"/>
        <v>Put</v>
      </c>
      <c r="AK23" s="20">
        <f t="shared" si="13"/>
        <v>0.99999419199961892</v>
      </c>
      <c r="AL23" s="3">
        <f t="shared" si="14"/>
        <v>0.99999419199961892</v>
      </c>
      <c r="AM23" s="3">
        <f t="shared" si="15"/>
        <v>1</v>
      </c>
      <c r="AN23" s="5">
        <f t="shared" si="16"/>
        <v>0.91450210499999995</v>
      </c>
      <c r="AO23" s="5">
        <f t="shared" si="17"/>
        <v>5.8080003810800918E-6</v>
      </c>
      <c r="AP23" s="5">
        <f t="shared" si="18"/>
        <v>2.3522258089649988</v>
      </c>
      <c r="AQ23" s="5">
        <f t="shared" si="19"/>
        <v>2.2853226819215782</v>
      </c>
      <c r="AR23" s="5">
        <f t="shared" si="20"/>
        <v>1</v>
      </c>
      <c r="AS23" s="5">
        <f t="shared" si="21"/>
        <v>0.91450210499999995</v>
      </c>
    </row>
    <row r="24" spans="1:45" x14ac:dyDescent="0.25">
      <c r="A24" s="1">
        <v>45322.666666666664</v>
      </c>
      <c r="B24">
        <v>20240216</v>
      </c>
      <c r="C24">
        <v>4663.5</v>
      </c>
      <c r="D24">
        <v>4648.2287960000003</v>
      </c>
      <c r="E24" t="s">
        <v>40</v>
      </c>
      <c r="F24">
        <v>4025</v>
      </c>
      <c r="G24">
        <v>10</v>
      </c>
      <c r="H24" t="s">
        <v>41</v>
      </c>
      <c r="I24" s="3">
        <v>0.9</v>
      </c>
      <c r="J24" s="3">
        <v>1.1000000000000001</v>
      </c>
      <c r="K24" s="5">
        <v>31.457510110000001</v>
      </c>
      <c r="L24" s="5">
        <v>0.64329366399999999</v>
      </c>
      <c r="M24" s="5">
        <v>0.98892581499999999</v>
      </c>
      <c r="N24" s="5">
        <v>-9.8066549999999992E-3</v>
      </c>
      <c r="O24" s="5">
        <v>0.24326199000000001</v>
      </c>
      <c r="P24" s="12">
        <v>3.2879987562163002E-5</v>
      </c>
      <c r="Q24" s="5">
        <v>-0.140402151</v>
      </c>
      <c r="R24">
        <v>0</v>
      </c>
      <c r="S24" t="b">
        <v>1</v>
      </c>
      <c r="T24" s="1">
        <v>45322.666666666664</v>
      </c>
      <c r="U24" s="1">
        <v>45338.666666666664</v>
      </c>
      <c r="V24" s="3">
        <f t="shared" si="0"/>
        <v>4.3835616438356165E-2</v>
      </c>
      <c r="W24">
        <v>3.7900000000000003E-2</v>
      </c>
      <c r="X24" s="7">
        <v>0.31204084040112723</v>
      </c>
      <c r="Y24" s="3">
        <f t="shared" si="1"/>
        <v>0.14724132831425449</v>
      </c>
      <c r="Z24" s="9">
        <f t="shared" si="2"/>
        <v>8.6584743039120879E-2</v>
      </c>
      <c r="AA24" s="3">
        <f t="shared" si="3"/>
        <v>4.3835616438356165E-2</v>
      </c>
      <c r="AB24" s="3">
        <f t="shared" si="4"/>
        <v>6.5331856276441932E-2</v>
      </c>
      <c r="AC24" s="3">
        <f t="shared" si="5"/>
        <v>2.3118403870302013</v>
      </c>
      <c r="AD24" s="3">
        <f t="shared" si="6"/>
        <v>0.98960675956917665</v>
      </c>
      <c r="AE24" s="3">
        <f t="shared" si="7"/>
        <v>1.0393240430823366E-2</v>
      </c>
      <c r="AF24" s="3">
        <f t="shared" si="8"/>
        <v>-1.0784743039120873E-2</v>
      </c>
      <c r="AG24" s="3">
        <f t="shared" si="9"/>
        <v>2.2465085307537596</v>
      </c>
      <c r="AH24" s="3">
        <f t="shared" si="10"/>
        <v>0.98766427312867788</v>
      </c>
      <c r="AI24" s="3">
        <f t="shared" si="11"/>
        <v>1.2335726871322136E-2</v>
      </c>
      <c r="AJ24" s="20" t="str">
        <f t="shared" si="12"/>
        <v>Put</v>
      </c>
      <c r="AK24" s="20">
        <f t="shared" si="13"/>
        <v>1.1000032179387418</v>
      </c>
      <c r="AL24" s="3">
        <f t="shared" si="14"/>
        <v>1.1000032179387418</v>
      </c>
      <c r="AM24" s="3">
        <f t="shared" si="15"/>
        <v>1.1000000000000001</v>
      </c>
      <c r="AN24" s="5">
        <f t="shared" si="16"/>
        <v>0.98892581499999999</v>
      </c>
      <c r="AO24" s="5">
        <f t="shared" si="17"/>
        <v>-3.217938741695292E-6</v>
      </c>
      <c r="AP24" s="5">
        <f t="shared" si="18"/>
        <v>2.3118403870302013</v>
      </c>
      <c r="AQ24" s="5">
        <f t="shared" si="19"/>
        <v>2.2465085307537596</v>
      </c>
      <c r="AR24" s="5">
        <f t="shared" si="20"/>
        <v>1.1000000000000001</v>
      </c>
      <c r="AS24" s="5">
        <f t="shared" si="21"/>
        <v>0.98892581499999999</v>
      </c>
    </row>
    <row r="25" spans="1:45" x14ac:dyDescent="0.25">
      <c r="A25" s="1">
        <v>45322.666666666664</v>
      </c>
      <c r="B25">
        <v>20240216</v>
      </c>
      <c r="C25">
        <v>4663.5</v>
      </c>
      <c r="D25">
        <v>4648.2287960000003</v>
      </c>
      <c r="E25" t="s">
        <v>40</v>
      </c>
      <c r="F25">
        <v>4050</v>
      </c>
      <c r="G25">
        <v>10</v>
      </c>
      <c r="H25" t="s">
        <v>41</v>
      </c>
      <c r="I25" s="3">
        <v>0.9</v>
      </c>
      <c r="J25" s="3">
        <v>1.2</v>
      </c>
      <c r="K25" s="5">
        <v>30.585565989999999</v>
      </c>
      <c r="L25" s="5">
        <v>0.64329366399999999</v>
      </c>
      <c r="M25" s="5">
        <v>1.071338685</v>
      </c>
      <c r="N25" s="5">
        <v>-1.0815808E-2</v>
      </c>
      <c r="O25" s="5">
        <v>0.264947496</v>
      </c>
      <c r="P25" s="12">
        <v>3.73536830636017E-5</v>
      </c>
      <c r="Q25" s="5">
        <v>-0.15078560999999999</v>
      </c>
      <c r="R25">
        <v>0</v>
      </c>
      <c r="S25" t="b">
        <v>1</v>
      </c>
      <c r="T25" s="1">
        <v>45322.666666666664</v>
      </c>
      <c r="U25" s="1">
        <v>45338.666666666664</v>
      </c>
      <c r="V25" s="3">
        <f t="shared" si="0"/>
        <v>4.3835616438356165E-2</v>
      </c>
      <c r="W25">
        <v>3.7900000000000003E-2</v>
      </c>
      <c r="X25" s="7">
        <v>0.30411631608522455</v>
      </c>
      <c r="Y25" s="3">
        <f t="shared" si="1"/>
        <v>0.14104935806633342</v>
      </c>
      <c r="Z25" s="9">
        <f t="shared" si="2"/>
        <v>8.4143366854624105E-2</v>
      </c>
      <c r="AA25" s="3">
        <f t="shared" si="3"/>
        <v>4.3835616438356165E-2</v>
      </c>
      <c r="AB25" s="3">
        <f t="shared" si="4"/>
        <v>6.3672702035605405E-2</v>
      </c>
      <c r="AC25" s="3">
        <f t="shared" si="5"/>
        <v>2.273153640325615</v>
      </c>
      <c r="AD25" s="3">
        <f t="shared" si="6"/>
        <v>0.98849153854794725</v>
      </c>
      <c r="AE25" s="3">
        <f t="shared" si="7"/>
        <v>1.1508461452052731E-2</v>
      </c>
      <c r="AF25" s="3">
        <f t="shared" si="8"/>
        <v>-8.3433668546240985E-3</v>
      </c>
      <c r="AG25" s="3">
        <f t="shared" si="9"/>
        <v>2.2094809382900094</v>
      </c>
      <c r="AH25" s="3">
        <f t="shared" si="10"/>
        <v>0.98642939659074713</v>
      </c>
      <c r="AI25" s="3">
        <f t="shared" si="11"/>
        <v>1.3570603409252901E-2</v>
      </c>
      <c r="AJ25" s="20" t="str">
        <f t="shared" si="12"/>
        <v>Put</v>
      </c>
      <c r="AK25" s="20">
        <f t="shared" si="13"/>
        <v>1.1999991783737869</v>
      </c>
      <c r="AL25" s="3">
        <f t="shared" si="14"/>
        <v>1.1999991783737869</v>
      </c>
      <c r="AM25" s="3">
        <f t="shared" si="15"/>
        <v>1.2</v>
      </c>
      <c r="AN25" s="5">
        <f t="shared" si="16"/>
        <v>1.071338685</v>
      </c>
      <c r="AO25" s="5">
        <f t="shared" si="17"/>
        <v>8.2162621306558492E-7</v>
      </c>
      <c r="AP25" s="5">
        <f t="shared" si="18"/>
        <v>2.273153640325615</v>
      </c>
      <c r="AQ25" s="5">
        <f t="shared" si="19"/>
        <v>2.2094809382900094</v>
      </c>
      <c r="AR25" s="5">
        <f t="shared" si="20"/>
        <v>1.2</v>
      </c>
      <c r="AS25" s="5">
        <f t="shared" si="21"/>
        <v>1.071338685</v>
      </c>
    </row>
    <row r="26" spans="1:45" x14ac:dyDescent="0.25">
      <c r="A26" s="1">
        <v>45322.666666666664</v>
      </c>
      <c r="B26">
        <v>20240216</v>
      </c>
      <c r="C26">
        <v>4663.5</v>
      </c>
      <c r="D26">
        <v>4648.2287960000003</v>
      </c>
      <c r="E26" t="s">
        <v>40</v>
      </c>
      <c r="F26">
        <v>4075</v>
      </c>
      <c r="G26">
        <v>10</v>
      </c>
      <c r="H26" t="s">
        <v>41</v>
      </c>
      <c r="I26" s="3">
        <v>1</v>
      </c>
      <c r="J26" s="3">
        <v>1.3</v>
      </c>
      <c r="K26" s="5">
        <v>29.71247902</v>
      </c>
      <c r="L26" s="5">
        <v>0.64329366399999999</v>
      </c>
      <c r="M26" s="5">
        <v>1.162958859</v>
      </c>
      <c r="N26" s="5">
        <v>-1.1957258E-2</v>
      </c>
      <c r="O26" s="5">
        <v>0.28907698799999998</v>
      </c>
      <c r="P26" s="12">
        <v>4.2604633241239997E-5</v>
      </c>
      <c r="Q26" s="5">
        <v>-0.16230355499999999</v>
      </c>
      <c r="R26">
        <v>0</v>
      </c>
      <c r="S26" t="b">
        <v>1</v>
      </c>
      <c r="T26" s="1">
        <v>45322.666666666664</v>
      </c>
      <c r="U26" s="1">
        <v>45338.666666666664</v>
      </c>
      <c r="V26" s="3">
        <f t="shared" si="0"/>
        <v>4.3835616438356165E-2</v>
      </c>
      <c r="W26">
        <v>3.7900000000000003E-2</v>
      </c>
      <c r="X26" s="7">
        <v>0.29582200653611679</v>
      </c>
      <c r="Y26" s="3">
        <f t="shared" si="1"/>
        <v>0.13489549249195504</v>
      </c>
      <c r="Z26" s="9">
        <f t="shared" si="2"/>
        <v>8.1655329775527169E-2</v>
      </c>
      <c r="AA26" s="3">
        <f t="shared" si="3"/>
        <v>4.3835616438356165E-2</v>
      </c>
      <c r="AB26" s="3">
        <f t="shared" si="4"/>
        <v>6.1936126019856833E-2</v>
      </c>
      <c r="AC26" s="3">
        <f t="shared" si="5"/>
        <v>2.2357695436706395</v>
      </c>
      <c r="AD26" s="3">
        <f t="shared" si="6"/>
        <v>0.98731656453459149</v>
      </c>
      <c r="AE26" s="3">
        <f t="shared" si="7"/>
        <v>1.2683435465408534E-2</v>
      </c>
      <c r="AF26" s="3">
        <f t="shared" si="8"/>
        <v>-5.8553297755271558E-3</v>
      </c>
      <c r="AG26" s="3">
        <f t="shared" si="9"/>
        <v>2.1738334176507825</v>
      </c>
      <c r="AH26" s="3">
        <f t="shared" si="10"/>
        <v>0.98514117606603535</v>
      </c>
      <c r="AI26" s="3">
        <f t="shared" si="11"/>
        <v>1.4858823933964668E-2</v>
      </c>
      <c r="AJ26" s="20" t="str">
        <f t="shared" si="12"/>
        <v>Put</v>
      </c>
      <c r="AK26" s="20">
        <f t="shared" si="13"/>
        <v>1.2999942955421915</v>
      </c>
      <c r="AL26" s="3">
        <f t="shared" si="14"/>
        <v>1.2999942955421915</v>
      </c>
      <c r="AM26" s="3">
        <f t="shared" si="15"/>
        <v>1.3</v>
      </c>
      <c r="AN26" s="5">
        <f t="shared" si="16"/>
        <v>1.162958859</v>
      </c>
      <c r="AO26" s="5">
        <f t="shared" si="17"/>
        <v>5.7044578085641007E-6</v>
      </c>
      <c r="AP26" s="5">
        <f t="shared" si="18"/>
        <v>2.2357695436706395</v>
      </c>
      <c r="AQ26" s="5">
        <f t="shared" si="19"/>
        <v>2.1738334176507825</v>
      </c>
      <c r="AR26" s="5">
        <f t="shared" si="20"/>
        <v>1.3</v>
      </c>
      <c r="AS26" s="5">
        <f t="shared" si="21"/>
        <v>1.162958859</v>
      </c>
    </row>
    <row r="27" spans="1:45" x14ac:dyDescent="0.25">
      <c r="A27" s="1">
        <v>45322.666666666664</v>
      </c>
      <c r="B27">
        <v>20240216</v>
      </c>
      <c r="C27">
        <v>4663.5</v>
      </c>
      <c r="D27">
        <v>4648.2287960000003</v>
      </c>
      <c r="E27" t="s">
        <v>40</v>
      </c>
      <c r="F27">
        <v>4100</v>
      </c>
      <c r="G27">
        <v>10</v>
      </c>
      <c r="H27" t="s">
        <v>41</v>
      </c>
      <c r="I27" s="3">
        <v>1.2</v>
      </c>
      <c r="J27" s="3">
        <v>1.4</v>
      </c>
      <c r="K27" s="5">
        <v>28.838302890000001</v>
      </c>
      <c r="L27" s="5">
        <v>0.64329366399999999</v>
      </c>
      <c r="M27" s="5">
        <v>1.265246474</v>
      </c>
      <c r="N27" s="5">
        <v>-1.3253681E-2</v>
      </c>
      <c r="O27" s="5">
        <v>0.31601180200000001</v>
      </c>
      <c r="P27" s="12">
        <v>4.8801689833997802E-5</v>
      </c>
      <c r="Q27" s="5">
        <v>-0.17513287799999999</v>
      </c>
      <c r="R27">
        <v>0</v>
      </c>
      <c r="S27" t="b">
        <v>1</v>
      </c>
      <c r="T27" s="1">
        <v>45322.666666666664</v>
      </c>
      <c r="U27" s="1">
        <v>45338.666666666664</v>
      </c>
      <c r="V27" s="3">
        <f t="shared" si="0"/>
        <v>4.3835616438356165E-2</v>
      </c>
      <c r="W27">
        <v>3.7900000000000003E-2</v>
      </c>
      <c r="X27" s="7">
        <v>0.28719711059451036</v>
      </c>
      <c r="Y27" s="3">
        <f t="shared" si="1"/>
        <v>0.12877926547451904</v>
      </c>
      <c r="Z27" s="9">
        <f t="shared" si="2"/>
        <v>7.9141090166917713E-2</v>
      </c>
      <c r="AA27" s="3">
        <f t="shared" si="3"/>
        <v>4.3835616438356165E-2</v>
      </c>
      <c r="AB27" s="3">
        <f t="shared" si="4"/>
        <v>6.0130335273581609E-2</v>
      </c>
      <c r="AC27" s="3">
        <f t="shared" si="5"/>
        <v>2.1993634884269979</v>
      </c>
      <c r="AD27" s="3">
        <f t="shared" si="6"/>
        <v>0.98607395668208475</v>
      </c>
      <c r="AE27" s="3">
        <f t="shared" si="7"/>
        <v>1.392604331791528E-2</v>
      </c>
      <c r="AF27" s="3">
        <f t="shared" si="8"/>
        <v>-3.3410901669177068E-3</v>
      </c>
      <c r="AG27" s="3">
        <f t="shared" si="9"/>
        <v>2.1392331531534161</v>
      </c>
      <c r="AH27" s="3">
        <f t="shared" si="10"/>
        <v>0.98379160478650185</v>
      </c>
      <c r="AI27" s="3">
        <f t="shared" si="11"/>
        <v>1.6208395213498122E-2</v>
      </c>
      <c r="AJ27" s="20" t="str">
        <f t="shared" si="12"/>
        <v>Put</v>
      </c>
      <c r="AK27" s="20">
        <f t="shared" si="13"/>
        <v>1.4000036522788974</v>
      </c>
      <c r="AL27" s="3">
        <f t="shared" si="14"/>
        <v>1.4000036522788974</v>
      </c>
      <c r="AM27" s="3">
        <f t="shared" si="15"/>
        <v>1.4</v>
      </c>
      <c r="AN27" s="5">
        <f t="shared" si="16"/>
        <v>1.265246474</v>
      </c>
      <c r="AO27" s="5">
        <f t="shared" si="17"/>
        <v>-3.6522788975368314E-6</v>
      </c>
      <c r="AP27" s="5">
        <f t="shared" si="18"/>
        <v>2.1993634884269979</v>
      </c>
      <c r="AQ27" s="5">
        <f t="shared" si="19"/>
        <v>2.1392331531534161</v>
      </c>
      <c r="AR27" s="5">
        <f t="shared" si="20"/>
        <v>1.4</v>
      </c>
      <c r="AS27" s="5">
        <f t="shared" si="21"/>
        <v>1.265246474</v>
      </c>
    </row>
    <row r="28" spans="1:45" x14ac:dyDescent="0.25">
      <c r="A28" s="1">
        <v>45322.666666666664</v>
      </c>
      <c r="B28">
        <v>20240216</v>
      </c>
      <c r="C28">
        <v>4663.5</v>
      </c>
      <c r="D28">
        <v>4648.2287960000003</v>
      </c>
      <c r="E28" t="s">
        <v>40</v>
      </c>
      <c r="F28">
        <v>4125</v>
      </c>
      <c r="G28">
        <v>10</v>
      </c>
      <c r="H28" t="s">
        <v>41</v>
      </c>
      <c r="I28" s="3">
        <v>1.3</v>
      </c>
      <c r="J28" s="3">
        <v>1.5</v>
      </c>
      <c r="K28" s="5">
        <v>27.963124740000001</v>
      </c>
      <c r="L28" s="5">
        <v>0.64329366399999999</v>
      </c>
      <c r="M28" s="5">
        <v>1.3799743289999999</v>
      </c>
      <c r="N28" s="5">
        <v>-1.4732706E-2</v>
      </c>
      <c r="O28" s="5">
        <v>0.34618123899999997</v>
      </c>
      <c r="P28" s="12">
        <v>5.61573173309359E-5</v>
      </c>
      <c r="Q28" s="5">
        <v>-0.18948340399999999</v>
      </c>
      <c r="R28">
        <v>0</v>
      </c>
      <c r="S28" t="b">
        <v>1</v>
      </c>
      <c r="T28" s="1">
        <v>45322.666666666664</v>
      </c>
      <c r="U28" s="1">
        <v>45338.666666666664</v>
      </c>
      <c r="V28" s="3">
        <f t="shared" si="0"/>
        <v>4.3835616438356165E-2</v>
      </c>
      <c r="W28">
        <v>3.7900000000000003E-2</v>
      </c>
      <c r="X28" s="7">
        <v>0.27827148859740031</v>
      </c>
      <c r="Y28" s="3">
        <f t="shared" si="1"/>
        <v>0.12270021939813681</v>
      </c>
      <c r="Z28" s="9">
        <f t="shared" si="2"/>
        <v>7.6617510683106543E-2</v>
      </c>
      <c r="AA28" s="3">
        <f t="shared" si="3"/>
        <v>4.3835616438356165E-2</v>
      </c>
      <c r="AB28" s="3">
        <f t="shared" si="4"/>
        <v>5.8261581642667676E-2</v>
      </c>
      <c r="AC28" s="3">
        <f t="shared" si="5"/>
        <v>2.1636692938075743</v>
      </c>
      <c r="AD28" s="3">
        <f t="shared" si="6"/>
        <v>0.98475513038161522</v>
      </c>
      <c r="AE28" s="3">
        <f t="shared" si="7"/>
        <v>1.5244869618384801E-2</v>
      </c>
      <c r="AF28" s="3">
        <f t="shared" si="8"/>
        <v>-8.1751068310654401E-4</v>
      </c>
      <c r="AG28" s="3">
        <f t="shared" si="9"/>
        <v>2.1054077121649071</v>
      </c>
      <c r="AH28" s="3">
        <f t="shared" si="10"/>
        <v>0.98237208347353067</v>
      </c>
      <c r="AI28" s="3">
        <f t="shared" si="11"/>
        <v>1.7627916526469386E-2</v>
      </c>
      <c r="AJ28" s="20" t="str">
        <f t="shared" si="12"/>
        <v>Put</v>
      </c>
      <c r="AK28" s="20">
        <f t="shared" si="13"/>
        <v>1.4999997349423353</v>
      </c>
      <c r="AL28" s="3">
        <f t="shared" si="14"/>
        <v>1.4999997349423353</v>
      </c>
      <c r="AM28" s="3">
        <f t="shared" si="15"/>
        <v>1.5</v>
      </c>
      <c r="AN28" s="5">
        <f t="shared" si="16"/>
        <v>1.3799743289999999</v>
      </c>
      <c r="AO28" s="5">
        <f t="shared" si="17"/>
        <v>2.6505766470563685E-7</v>
      </c>
      <c r="AP28" s="5">
        <f t="shared" si="18"/>
        <v>2.1636692938075743</v>
      </c>
      <c r="AQ28" s="5">
        <f t="shared" si="19"/>
        <v>2.1054077121649071</v>
      </c>
      <c r="AR28" s="5">
        <f t="shared" si="20"/>
        <v>1.5</v>
      </c>
      <c r="AS28" s="5">
        <f t="shared" si="21"/>
        <v>1.3799743289999999</v>
      </c>
    </row>
    <row r="29" spans="1:45" x14ac:dyDescent="0.25">
      <c r="A29" s="1">
        <v>45322.666666666664</v>
      </c>
      <c r="B29">
        <v>20240216</v>
      </c>
      <c r="C29">
        <v>4663.5</v>
      </c>
      <c r="D29">
        <v>4648.2287960000003</v>
      </c>
      <c r="E29" t="s">
        <v>40</v>
      </c>
      <c r="F29">
        <v>4150</v>
      </c>
      <c r="G29">
        <v>10</v>
      </c>
      <c r="H29" t="s">
        <v>41</v>
      </c>
      <c r="I29" s="3">
        <v>1.4</v>
      </c>
      <c r="J29" s="3">
        <v>1.6</v>
      </c>
      <c r="K29" s="5">
        <v>27.08702946</v>
      </c>
      <c r="L29" s="5">
        <v>0.64329366399999999</v>
      </c>
      <c r="M29" s="5">
        <v>1.5092955589999999</v>
      </c>
      <c r="N29" s="5">
        <v>-1.6428101000000001E-2</v>
      </c>
      <c r="O29" s="5">
        <v>0.38009517500000001</v>
      </c>
      <c r="P29" s="12">
        <v>6.4936694258341195E-5</v>
      </c>
      <c r="Q29" s="5">
        <v>-0.20559207099999999</v>
      </c>
      <c r="R29">
        <v>0</v>
      </c>
      <c r="S29" t="b">
        <v>1</v>
      </c>
      <c r="T29" s="1">
        <v>45322.666666666664</v>
      </c>
      <c r="U29" s="1">
        <v>45338.666666666664</v>
      </c>
      <c r="V29" s="3">
        <f t="shared" si="0"/>
        <v>4.3835616438356165E-2</v>
      </c>
      <c r="W29">
        <v>3.7900000000000003E-2</v>
      </c>
      <c r="X29" s="7">
        <v>0.26907006120847882</v>
      </c>
      <c r="Y29" s="3">
        <f t="shared" si="1"/>
        <v>0.11665790494217422</v>
      </c>
      <c r="Z29" s="9">
        <f t="shared" si="2"/>
        <v>7.4099348919367272E-2</v>
      </c>
      <c r="AA29" s="3">
        <f t="shared" si="3"/>
        <v>4.3835616438356165E-2</v>
      </c>
      <c r="AB29" s="3">
        <f t="shared" si="4"/>
        <v>5.6335082755732346E-2</v>
      </c>
      <c r="AC29" s="3">
        <f t="shared" si="5"/>
        <v>2.1284444739283628</v>
      </c>
      <c r="AD29" s="3">
        <f t="shared" si="6"/>
        <v>0.98334987546412478</v>
      </c>
      <c r="AE29" s="3">
        <f t="shared" si="7"/>
        <v>1.6650124535875194E-2</v>
      </c>
      <c r="AF29" s="3">
        <f t="shared" si="8"/>
        <v>1.7006510806327341E-3</v>
      </c>
      <c r="AG29" s="3">
        <f t="shared" si="9"/>
        <v>2.0721093911726305</v>
      </c>
      <c r="AH29" s="3">
        <f t="shared" si="10"/>
        <v>0.98087237963588558</v>
      </c>
      <c r="AI29" s="3">
        <f t="shared" si="11"/>
        <v>1.9127620364114448E-2</v>
      </c>
      <c r="AJ29" s="20" t="str">
        <f t="shared" si="12"/>
        <v>Put</v>
      </c>
      <c r="AK29" s="20">
        <f t="shared" si="13"/>
        <v>1.5999993113067745</v>
      </c>
      <c r="AL29" s="3">
        <f t="shared" si="14"/>
        <v>1.5999993113067745</v>
      </c>
      <c r="AM29" s="3">
        <f t="shared" si="15"/>
        <v>1.6</v>
      </c>
      <c r="AN29" s="5">
        <f t="shared" si="16"/>
        <v>1.5092955589999999</v>
      </c>
      <c r="AO29" s="5">
        <f t="shared" si="17"/>
        <v>6.8869322555897838E-7</v>
      </c>
      <c r="AP29" s="5">
        <f t="shared" si="18"/>
        <v>2.1284444739283628</v>
      </c>
      <c r="AQ29" s="5">
        <f t="shared" si="19"/>
        <v>2.0721093911726305</v>
      </c>
      <c r="AR29" s="5">
        <f t="shared" si="20"/>
        <v>1.6</v>
      </c>
      <c r="AS29" s="5">
        <f t="shared" si="21"/>
        <v>1.5092955589999999</v>
      </c>
    </row>
    <row r="30" spans="1:45" x14ac:dyDescent="0.25">
      <c r="A30" s="1">
        <v>45322.666666666664</v>
      </c>
      <c r="B30">
        <v>20240216</v>
      </c>
      <c r="C30">
        <v>4663.5</v>
      </c>
      <c r="D30">
        <v>4648.2287960000003</v>
      </c>
      <c r="E30" t="s">
        <v>40</v>
      </c>
      <c r="F30">
        <v>4175</v>
      </c>
      <c r="G30">
        <v>10</v>
      </c>
      <c r="H30" t="s">
        <v>41</v>
      </c>
      <c r="I30" s="3">
        <v>1.6</v>
      </c>
      <c r="J30" s="3">
        <v>1.8</v>
      </c>
      <c r="K30" s="5">
        <v>26.210065239999999</v>
      </c>
      <c r="L30" s="5">
        <v>0.64329366399999999</v>
      </c>
      <c r="M30" s="5">
        <v>1.6558282200000001</v>
      </c>
      <c r="N30" s="5">
        <v>-1.8381287E-2</v>
      </c>
      <c r="O30" s="5">
        <v>0.41835906299999998</v>
      </c>
      <c r="P30" s="12">
        <v>7.5477234701418696E-5</v>
      </c>
      <c r="Q30" s="5">
        <v>-0.22374101800000001</v>
      </c>
      <c r="R30">
        <v>0</v>
      </c>
      <c r="S30" t="b">
        <v>1</v>
      </c>
      <c r="T30" s="1">
        <v>45322.666666666664</v>
      </c>
      <c r="U30" s="1">
        <v>45338.666666666664</v>
      </c>
      <c r="V30" s="3">
        <f t="shared" si="0"/>
        <v>4.3835616438356165E-2</v>
      </c>
      <c r="W30">
        <v>3.7900000000000003E-2</v>
      </c>
      <c r="X30" s="7">
        <v>0.26186708318431728</v>
      </c>
      <c r="Y30" s="3">
        <f t="shared" si="1"/>
        <v>0.11065188088196226</v>
      </c>
      <c r="Z30" s="9">
        <f t="shared" si="2"/>
        <v>7.2187184627731077E-2</v>
      </c>
      <c r="AA30" s="3">
        <f t="shared" si="3"/>
        <v>4.3835616438356165E-2</v>
      </c>
      <c r="AB30" s="3">
        <f t="shared" si="4"/>
        <v>5.4826998351037257E-2</v>
      </c>
      <c r="AC30" s="3">
        <f t="shared" si="5"/>
        <v>2.0759161369795294</v>
      </c>
      <c r="AD30" s="3">
        <f t="shared" si="6"/>
        <v>0.98104914601552773</v>
      </c>
      <c r="AE30" s="3">
        <f t="shared" si="7"/>
        <v>1.8950853984472313E-2</v>
      </c>
      <c r="AF30" s="3">
        <f t="shared" si="8"/>
        <v>3.6128153722689293E-3</v>
      </c>
      <c r="AG30" s="3">
        <f t="shared" si="9"/>
        <v>2.0210891386284922</v>
      </c>
      <c r="AH30" s="3">
        <f t="shared" si="10"/>
        <v>0.97836473075454167</v>
      </c>
      <c r="AI30" s="3">
        <f t="shared" si="11"/>
        <v>2.163526924545834E-2</v>
      </c>
      <c r="AJ30" s="20" t="str">
        <f t="shared" si="12"/>
        <v>Put</v>
      </c>
      <c r="AK30" s="20">
        <f t="shared" si="13"/>
        <v>1.7999991631029815</v>
      </c>
      <c r="AL30" s="3">
        <f t="shared" si="14"/>
        <v>1.7999991631029815</v>
      </c>
      <c r="AM30" s="3">
        <f t="shared" si="15"/>
        <v>1.8</v>
      </c>
      <c r="AN30" s="5">
        <f t="shared" si="16"/>
        <v>1.6558282200000001</v>
      </c>
      <c r="AO30" s="5">
        <f t="shared" si="17"/>
        <v>8.3689701857458942E-7</v>
      </c>
      <c r="AP30" s="5">
        <f t="shared" si="18"/>
        <v>2.0759161369795294</v>
      </c>
      <c r="AQ30" s="5">
        <f t="shared" si="19"/>
        <v>2.0210891386284922</v>
      </c>
      <c r="AR30" s="5">
        <f t="shared" si="20"/>
        <v>1.8</v>
      </c>
      <c r="AS30" s="5">
        <f t="shared" si="21"/>
        <v>1.6558282200000001</v>
      </c>
    </row>
    <row r="31" spans="1:45" x14ac:dyDescent="0.25">
      <c r="A31" s="1">
        <v>45322.666666666664</v>
      </c>
      <c r="B31">
        <v>20240216</v>
      </c>
      <c r="C31">
        <v>4663.5</v>
      </c>
      <c r="D31">
        <v>4648.2287960000003</v>
      </c>
      <c r="E31" t="s">
        <v>42</v>
      </c>
      <c r="F31">
        <v>4200</v>
      </c>
      <c r="G31">
        <v>10</v>
      </c>
      <c r="H31" t="s">
        <v>41</v>
      </c>
      <c r="I31" s="3">
        <v>449.3</v>
      </c>
      <c r="J31" s="3">
        <v>451.2</v>
      </c>
      <c r="K31" s="5">
        <v>25.332278939999998</v>
      </c>
      <c r="L31" s="5">
        <v>0.64329366399999999</v>
      </c>
      <c r="M31" s="5">
        <v>450.19438450000001</v>
      </c>
      <c r="N31" s="5">
        <v>0.97453022700000003</v>
      </c>
      <c r="O31" s="5">
        <v>0.46169681299999998</v>
      </c>
      <c r="P31" s="12">
        <v>9.6381966706545404E-5</v>
      </c>
      <c r="Q31" s="5">
        <v>-0.26689333799999998</v>
      </c>
      <c r="R31">
        <v>0</v>
      </c>
      <c r="S31" t="b">
        <v>1</v>
      </c>
      <c r="T31" s="1">
        <v>45322.666666666664</v>
      </c>
      <c r="U31" s="1">
        <v>45338.666666666664</v>
      </c>
      <c r="V31" s="3">
        <f t="shared" si="0"/>
        <v>4.3835616438356165E-2</v>
      </c>
      <c r="W31">
        <v>3.7900000000000003E-2</v>
      </c>
      <c r="X31" s="7">
        <v>1E-4</v>
      </c>
      <c r="Y31" s="3">
        <f t="shared" si="1"/>
        <v>0.10468171389545848</v>
      </c>
      <c r="Z31" s="9">
        <f t="shared" si="2"/>
        <v>3.7900005E-2</v>
      </c>
      <c r="AA31" s="3">
        <f t="shared" si="3"/>
        <v>4.3835616438356165E-2</v>
      </c>
      <c r="AB31" s="3">
        <f t="shared" si="4"/>
        <v>2.0936956903608547E-5</v>
      </c>
      <c r="AC31" s="3">
        <f t="shared" si="5"/>
        <v>5079.2044167279009</v>
      </c>
      <c r="AD31" s="3">
        <f t="shared" si="6"/>
        <v>1</v>
      </c>
      <c r="AE31" s="3">
        <f t="shared" si="7"/>
        <v>0</v>
      </c>
      <c r="AF31" s="3">
        <f t="shared" si="8"/>
        <v>3.7899995000000006E-2</v>
      </c>
      <c r="AG31" s="3">
        <f t="shared" si="9"/>
        <v>5079.2043957909445</v>
      </c>
      <c r="AH31" s="3">
        <f t="shared" si="10"/>
        <v>1</v>
      </c>
      <c r="AI31" s="3">
        <f t="shared" si="11"/>
        <v>0</v>
      </c>
      <c r="AJ31" s="20">
        <f t="shared" si="12"/>
        <v>470.4719603186395</v>
      </c>
      <c r="AK31" s="20" t="str">
        <f t="shared" si="13"/>
        <v>Call</v>
      </c>
      <c r="AL31" s="3">
        <f t="shared" si="14"/>
        <v>470.4719603186395</v>
      </c>
      <c r="AM31" s="3">
        <f t="shared" si="15"/>
        <v>451.2</v>
      </c>
      <c r="AN31" s="5">
        <f t="shared" si="16"/>
        <v>450.19438450000001</v>
      </c>
      <c r="AO31" s="5">
        <f t="shared" si="17"/>
        <v>-19.271960318639515</v>
      </c>
      <c r="AP31" s="5">
        <f t="shared" si="18"/>
        <v>5079.2044167279009</v>
      </c>
      <c r="AQ31" s="5">
        <f t="shared" si="19"/>
        <v>5079.2043957909445</v>
      </c>
      <c r="AR31" s="5">
        <f t="shared" si="20"/>
        <v>451.2</v>
      </c>
      <c r="AS31" s="5">
        <f t="shared" si="21"/>
        <v>450.19438450000001</v>
      </c>
    </row>
    <row r="32" spans="1:45" x14ac:dyDescent="0.25">
      <c r="A32" s="1">
        <v>45322.666666666664</v>
      </c>
      <c r="B32">
        <v>20240216</v>
      </c>
      <c r="C32">
        <v>4663.5</v>
      </c>
      <c r="D32">
        <v>4648.2287960000003</v>
      </c>
      <c r="E32" t="s">
        <v>40</v>
      </c>
      <c r="F32">
        <v>4200</v>
      </c>
      <c r="G32">
        <v>10</v>
      </c>
      <c r="H32" t="s">
        <v>41</v>
      </c>
      <c r="I32" s="3">
        <v>1.7</v>
      </c>
      <c r="J32" s="3">
        <v>1.9</v>
      </c>
      <c r="K32" s="5">
        <v>25.332278939999998</v>
      </c>
      <c r="L32" s="5">
        <v>0.64329366399999999</v>
      </c>
      <c r="M32" s="5">
        <v>1.82279357</v>
      </c>
      <c r="N32" s="5">
        <v>-2.0643528000000001E-2</v>
      </c>
      <c r="O32" s="5">
        <v>0.46169681299999998</v>
      </c>
      <c r="P32" s="12">
        <v>8.8938957927220302E-5</v>
      </c>
      <c r="Q32" s="5">
        <v>-0.246282745</v>
      </c>
      <c r="R32">
        <v>0</v>
      </c>
      <c r="S32" t="b">
        <v>1</v>
      </c>
      <c r="T32" s="1">
        <v>45322.666666666664</v>
      </c>
      <c r="U32" s="1">
        <v>45338.666666666664</v>
      </c>
      <c r="V32" s="3">
        <f t="shared" si="0"/>
        <v>4.3835616438356165E-2</v>
      </c>
      <c r="W32">
        <v>3.7900000000000003E-2</v>
      </c>
      <c r="X32" s="7">
        <v>0.2520128021959484</v>
      </c>
      <c r="Y32" s="3">
        <f t="shared" si="1"/>
        <v>0.10468171389545848</v>
      </c>
      <c r="Z32" s="9">
        <f t="shared" si="2"/>
        <v>6.9655226235327106E-2</v>
      </c>
      <c r="AA32" s="3">
        <f t="shared" si="3"/>
        <v>4.3835616438356165E-2</v>
      </c>
      <c r="AB32" s="3">
        <f t="shared" si="4"/>
        <v>5.276381178734197E-2</v>
      </c>
      <c r="AC32" s="3">
        <f t="shared" si="5"/>
        <v>2.0418368200889314</v>
      </c>
      <c r="AD32" s="3">
        <f t="shared" si="6"/>
        <v>0.97941613971674601</v>
      </c>
      <c r="AE32" s="3">
        <f t="shared" si="7"/>
        <v>2.0583860283254041E-2</v>
      </c>
      <c r="AF32" s="3">
        <f t="shared" si="8"/>
        <v>6.1447737646728937E-3</v>
      </c>
      <c r="AG32" s="3">
        <f t="shared" si="9"/>
        <v>1.9890730083015893</v>
      </c>
      <c r="AH32" s="3">
        <f t="shared" si="10"/>
        <v>0.9766534274494828</v>
      </c>
      <c r="AI32" s="3">
        <f t="shared" si="11"/>
        <v>2.3346572550517222E-2</v>
      </c>
      <c r="AJ32" s="20" t="str">
        <f t="shared" si="12"/>
        <v>Put</v>
      </c>
      <c r="AK32" s="20">
        <f t="shared" si="13"/>
        <v>1.9000009038186647</v>
      </c>
      <c r="AL32" s="3">
        <f t="shared" si="14"/>
        <v>1.9000009038186647</v>
      </c>
      <c r="AM32" s="3">
        <f t="shared" si="15"/>
        <v>1.9</v>
      </c>
      <c r="AN32" s="5">
        <f t="shared" si="16"/>
        <v>1.82279357</v>
      </c>
      <c r="AO32" s="5">
        <f t="shared" si="17"/>
        <v>-9.0381866479916084E-7</v>
      </c>
      <c r="AP32" s="5">
        <f t="shared" si="18"/>
        <v>2.0418368200889314</v>
      </c>
      <c r="AQ32" s="5">
        <f t="shared" si="19"/>
        <v>1.9890730083015893</v>
      </c>
      <c r="AR32" s="5">
        <f t="shared" si="20"/>
        <v>1.9</v>
      </c>
      <c r="AS32" s="5">
        <f t="shared" si="21"/>
        <v>1.82279357</v>
      </c>
    </row>
    <row r="33" spans="1:45" x14ac:dyDescent="0.25">
      <c r="A33" s="1">
        <v>45322.666666666664</v>
      </c>
      <c r="B33">
        <v>20240216</v>
      </c>
      <c r="C33">
        <v>4663.5</v>
      </c>
      <c r="D33">
        <v>4648.2287960000003</v>
      </c>
      <c r="E33" t="s">
        <v>42</v>
      </c>
      <c r="F33">
        <v>4225</v>
      </c>
      <c r="G33">
        <v>10</v>
      </c>
      <c r="H33" t="s">
        <v>41</v>
      </c>
      <c r="I33" s="3">
        <v>424.5</v>
      </c>
      <c r="J33" s="3">
        <v>426.5</v>
      </c>
      <c r="K33" s="5">
        <v>24.462944090000001</v>
      </c>
      <c r="L33" s="5">
        <v>0.64329366399999999</v>
      </c>
      <c r="M33" s="5">
        <v>425.43441580000001</v>
      </c>
      <c r="N33" s="5">
        <v>0.97185476699999995</v>
      </c>
      <c r="O33" s="5">
        <v>0.51172052899999998</v>
      </c>
      <c r="P33" s="5">
        <v>1.06963E-4</v>
      </c>
      <c r="Q33" s="5">
        <v>-0.27621297</v>
      </c>
      <c r="R33">
        <v>0</v>
      </c>
      <c r="S33" t="b">
        <v>1</v>
      </c>
      <c r="T33" s="1">
        <v>45322.666666666664</v>
      </c>
      <c r="U33" s="1">
        <v>45338.666666666664</v>
      </c>
      <c r="V33" s="3">
        <f t="shared" si="0"/>
        <v>4.3835616438356165E-2</v>
      </c>
      <c r="W33">
        <v>3.7900000000000003E-2</v>
      </c>
      <c r="X33" s="7">
        <v>1E-4</v>
      </c>
      <c r="Y33" s="3">
        <f t="shared" si="1"/>
        <v>9.8746978375643946E-2</v>
      </c>
      <c r="Z33" s="9">
        <f t="shared" si="2"/>
        <v>3.7900005E-2</v>
      </c>
      <c r="AA33" s="3">
        <f t="shared" si="3"/>
        <v>4.3835616438356165E-2</v>
      </c>
      <c r="AB33" s="3">
        <f t="shared" si="4"/>
        <v>2.0936956903608547E-5</v>
      </c>
      <c r="AC33" s="3">
        <f t="shared" si="5"/>
        <v>4795.7470094677437</v>
      </c>
      <c r="AD33" s="3">
        <f t="shared" si="6"/>
        <v>1</v>
      </c>
      <c r="AE33" s="3">
        <f t="shared" si="7"/>
        <v>0</v>
      </c>
      <c r="AF33" s="3">
        <f t="shared" si="8"/>
        <v>3.7899995000000006E-2</v>
      </c>
      <c r="AG33" s="3">
        <f t="shared" si="9"/>
        <v>4795.7469885307873</v>
      </c>
      <c r="AH33" s="3">
        <f t="shared" si="10"/>
        <v>1</v>
      </c>
      <c r="AI33" s="3">
        <f t="shared" si="11"/>
        <v>0</v>
      </c>
      <c r="AJ33" s="20">
        <f t="shared" si="12"/>
        <v>445.51346008244127</v>
      </c>
      <c r="AK33" s="20" t="str">
        <f t="shared" si="13"/>
        <v>Call</v>
      </c>
      <c r="AL33" s="3">
        <f t="shared" si="14"/>
        <v>445.51346008244127</v>
      </c>
      <c r="AM33" s="3">
        <f t="shared" si="15"/>
        <v>426.5</v>
      </c>
      <c r="AN33" s="5">
        <f t="shared" si="16"/>
        <v>425.43441580000001</v>
      </c>
      <c r="AO33" s="5">
        <f t="shared" si="17"/>
        <v>-19.01346008244127</v>
      </c>
      <c r="AP33" s="5">
        <f t="shared" si="18"/>
        <v>4795.7470094677437</v>
      </c>
      <c r="AQ33" s="5">
        <f t="shared" si="19"/>
        <v>4795.7469885307873</v>
      </c>
      <c r="AR33" s="5">
        <f t="shared" si="20"/>
        <v>426.5</v>
      </c>
      <c r="AS33" s="5">
        <f t="shared" si="21"/>
        <v>425.43441580000001</v>
      </c>
    </row>
    <row r="34" spans="1:45" x14ac:dyDescent="0.25">
      <c r="A34" s="1">
        <v>45322.666666666664</v>
      </c>
      <c r="B34">
        <v>20240216</v>
      </c>
      <c r="C34">
        <v>4663.5</v>
      </c>
      <c r="D34">
        <v>4648.2287960000003</v>
      </c>
      <c r="E34" t="s">
        <v>40</v>
      </c>
      <c r="F34">
        <v>4225</v>
      </c>
      <c r="G34">
        <v>10</v>
      </c>
      <c r="H34" t="s">
        <v>41</v>
      </c>
      <c r="I34" s="3">
        <v>1.9</v>
      </c>
      <c r="J34" s="3">
        <v>2.1</v>
      </c>
      <c r="K34" s="5">
        <v>24.462944090000001</v>
      </c>
      <c r="L34" s="5">
        <v>0.64329366399999999</v>
      </c>
      <c r="M34" s="5">
        <v>2.018903527</v>
      </c>
      <c r="N34" s="5">
        <v>-2.3318987999999999E-2</v>
      </c>
      <c r="O34" s="5">
        <v>0.51172052899999998</v>
      </c>
      <c r="P34" s="5">
        <v>1.06963E-4</v>
      </c>
      <c r="Q34" s="5">
        <v>-0.27621297</v>
      </c>
      <c r="R34">
        <v>0</v>
      </c>
      <c r="S34" t="b">
        <v>1</v>
      </c>
      <c r="T34" s="1">
        <v>45322.666666666664</v>
      </c>
      <c r="U34" s="1">
        <v>45338.666666666664</v>
      </c>
      <c r="V34" s="3">
        <f t="shared" si="0"/>
        <v>4.3835616438356165E-2</v>
      </c>
      <c r="W34">
        <v>3.7900000000000003E-2</v>
      </c>
      <c r="X34" s="7">
        <v>0.2438379862915242</v>
      </c>
      <c r="Y34" s="3">
        <f t="shared" si="1"/>
        <v>9.8746978375643946E-2</v>
      </c>
      <c r="Z34" s="9">
        <f t="shared" si="2"/>
        <v>6.7628481779352767E-2</v>
      </c>
      <c r="AA34" s="3">
        <f t="shared" si="3"/>
        <v>4.3835616438356165E-2</v>
      </c>
      <c r="AB34" s="3">
        <f t="shared" si="4"/>
        <v>5.1052254104483337E-2</v>
      </c>
      <c r="AC34" s="3">
        <f t="shared" si="5"/>
        <v>1.9923021294039169</v>
      </c>
      <c r="AD34" s="3">
        <f t="shared" si="6"/>
        <v>0.97683104089426676</v>
      </c>
      <c r="AE34" s="3">
        <f t="shared" si="7"/>
        <v>2.3168959105733203E-2</v>
      </c>
      <c r="AF34" s="3">
        <f t="shared" si="8"/>
        <v>8.1715182206472323E-3</v>
      </c>
      <c r="AG34" s="3">
        <f t="shared" si="9"/>
        <v>1.9412498752994338</v>
      </c>
      <c r="AH34" s="3">
        <f t="shared" si="10"/>
        <v>0.97388601191909419</v>
      </c>
      <c r="AI34" s="3">
        <f t="shared" si="11"/>
        <v>2.6113988080905839E-2</v>
      </c>
      <c r="AJ34" s="20" t="str">
        <f t="shared" si="12"/>
        <v>Put</v>
      </c>
      <c r="AK34" s="20">
        <f t="shared" si="13"/>
        <v>2.1000094392416031</v>
      </c>
      <c r="AL34" s="3">
        <f t="shared" si="14"/>
        <v>2.1000094392416031</v>
      </c>
      <c r="AM34" s="3">
        <f t="shared" si="15"/>
        <v>2.1</v>
      </c>
      <c r="AN34" s="5">
        <f t="shared" si="16"/>
        <v>2.018903527</v>
      </c>
      <c r="AO34" s="5">
        <f t="shared" si="17"/>
        <v>-9.439241603015347E-6</v>
      </c>
      <c r="AP34" s="5">
        <f t="shared" si="18"/>
        <v>1.9923021294039169</v>
      </c>
      <c r="AQ34" s="5">
        <f t="shared" si="19"/>
        <v>1.9412498752994338</v>
      </c>
      <c r="AR34" s="5">
        <f t="shared" si="20"/>
        <v>2.1</v>
      </c>
      <c r="AS34" s="5">
        <f t="shared" si="21"/>
        <v>2.018903527</v>
      </c>
    </row>
    <row r="35" spans="1:45" x14ac:dyDescent="0.25">
      <c r="A35" s="1">
        <v>45322.666666666664</v>
      </c>
      <c r="B35">
        <v>20240216</v>
      </c>
      <c r="C35">
        <v>4663.5</v>
      </c>
      <c r="D35">
        <v>4648.2287960000003</v>
      </c>
      <c r="E35" t="s">
        <v>42</v>
      </c>
      <c r="F35">
        <v>4250</v>
      </c>
      <c r="G35">
        <v>10</v>
      </c>
      <c r="H35" t="s">
        <v>41</v>
      </c>
      <c r="I35" s="3">
        <v>399.8</v>
      </c>
      <c r="J35" s="3">
        <v>401.8</v>
      </c>
      <c r="K35" s="5">
        <v>23.611115550000001</v>
      </c>
      <c r="L35" s="5">
        <v>0.64329366399999999</v>
      </c>
      <c r="M35" s="5">
        <v>400.71529909999998</v>
      </c>
      <c r="N35" s="5">
        <v>0.96862701399999995</v>
      </c>
      <c r="O35" s="5">
        <v>0.57047107900000005</v>
      </c>
      <c r="P35" s="5">
        <v>1.30195E-4</v>
      </c>
      <c r="Q35" s="5">
        <v>-0.31320021999999997</v>
      </c>
      <c r="R35">
        <v>0</v>
      </c>
      <c r="S35" t="b">
        <v>1</v>
      </c>
      <c r="T35" s="1">
        <v>45322.666666666664</v>
      </c>
      <c r="U35" s="1">
        <v>45338.666666666664</v>
      </c>
      <c r="V35" s="3">
        <f t="shared" si="0"/>
        <v>4.3835616438356165E-2</v>
      </c>
      <c r="W35">
        <v>3.7900000000000003E-2</v>
      </c>
      <c r="X35" s="7">
        <v>1E-4</v>
      </c>
      <c r="Y35" s="3">
        <f t="shared" si="1"/>
        <v>9.284725624845562E-2</v>
      </c>
      <c r="Z35" s="9">
        <f t="shared" si="2"/>
        <v>3.7900005E-2</v>
      </c>
      <c r="AA35" s="3">
        <f t="shared" si="3"/>
        <v>4.3835616438356165E-2</v>
      </c>
      <c r="AB35" s="3">
        <f t="shared" si="4"/>
        <v>2.0936956903608547E-5</v>
      </c>
      <c r="AC35" s="3">
        <f t="shared" si="5"/>
        <v>4513.9619270247695</v>
      </c>
      <c r="AD35" s="3">
        <f t="shared" si="6"/>
        <v>1</v>
      </c>
      <c r="AE35" s="3">
        <f t="shared" si="7"/>
        <v>0</v>
      </c>
      <c r="AF35" s="3">
        <f t="shared" si="8"/>
        <v>3.7899995000000006E-2</v>
      </c>
      <c r="AG35" s="3">
        <f t="shared" si="9"/>
        <v>4513.9619060878131</v>
      </c>
      <c r="AH35" s="3">
        <f t="shared" si="10"/>
        <v>1</v>
      </c>
      <c r="AI35" s="3">
        <f t="shared" si="11"/>
        <v>0</v>
      </c>
      <c r="AJ35" s="20">
        <f t="shared" si="12"/>
        <v>420.55495984624304</v>
      </c>
      <c r="AK35" s="20" t="str">
        <f t="shared" si="13"/>
        <v>Call</v>
      </c>
      <c r="AL35" s="3">
        <f t="shared" si="14"/>
        <v>420.55495984624304</v>
      </c>
      <c r="AM35" s="3">
        <f t="shared" si="15"/>
        <v>401.8</v>
      </c>
      <c r="AN35" s="5">
        <f t="shared" si="16"/>
        <v>400.71529909999998</v>
      </c>
      <c r="AO35" s="5">
        <f t="shared" si="17"/>
        <v>-18.754959846243025</v>
      </c>
      <c r="AP35" s="5">
        <f t="shared" si="18"/>
        <v>4513.9619270247695</v>
      </c>
      <c r="AQ35" s="5">
        <f t="shared" si="19"/>
        <v>4513.9619060878131</v>
      </c>
      <c r="AR35" s="5">
        <f t="shared" si="20"/>
        <v>401.8</v>
      </c>
      <c r="AS35" s="5">
        <f t="shared" si="21"/>
        <v>400.71529909999998</v>
      </c>
    </row>
    <row r="36" spans="1:45" x14ac:dyDescent="0.25">
      <c r="A36" s="1">
        <v>45322.666666666664</v>
      </c>
      <c r="B36">
        <v>20240216</v>
      </c>
      <c r="C36">
        <v>4663.5</v>
      </c>
      <c r="D36">
        <v>4648.2287960000003</v>
      </c>
      <c r="E36" t="s">
        <v>40</v>
      </c>
      <c r="F36">
        <v>4250</v>
      </c>
      <c r="G36">
        <v>10</v>
      </c>
      <c r="H36" t="s">
        <v>41</v>
      </c>
      <c r="I36" s="3">
        <v>2.2000000000000002</v>
      </c>
      <c r="J36" s="3">
        <v>2.4</v>
      </c>
      <c r="K36" s="5">
        <v>23.611115550000001</v>
      </c>
      <c r="L36" s="5">
        <v>0.64329366399999999</v>
      </c>
      <c r="M36" s="5">
        <v>2.2558654090000001</v>
      </c>
      <c r="N36" s="5">
        <v>-2.6546740999999999E-2</v>
      </c>
      <c r="O36" s="5">
        <v>0.57047107900000005</v>
      </c>
      <c r="P36" s="5">
        <v>1.30195E-4</v>
      </c>
      <c r="Q36" s="5">
        <v>-0.31320021999999997</v>
      </c>
      <c r="R36">
        <v>0</v>
      </c>
      <c r="S36" t="b">
        <v>1</v>
      </c>
      <c r="T36" s="1">
        <v>45322.666666666664</v>
      </c>
      <c r="U36" s="1">
        <v>45338.666666666664</v>
      </c>
      <c r="V36" s="3">
        <f t="shared" si="0"/>
        <v>4.3835616438356165E-2</v>
      </c>
      <c r="W36">
        <v>3.7900000000000003E-2</v>
      </c>
      <c r="X36" s="7">
        <v>0.23683083323580198</v>
      </c>
      <c r="Y36" s="3">
        <f t="shared" si="1"/>
        <v>9.284725624845562E-2</v>
      </c>
      <c r="Z36" s="9">
        <f t="shared" si="2"/>
        <v>6.594442178558213E-2</v>
      </c>
      <c r="AA36" s="3">
        <f t="shared" si="3"/>
        <v>4.3835616438356165E-2</v>
      </c>
      <c r="AB36" s="3">
        <f t="shared" si="4"/>
        <v>4.9585169489036886E-2</v>
      </c>
      <c r="AC36" s="3">
        <f t="shared" si="5"/>
        <v>1.9307783277672355</v>
      </c>
      <c r="AD36" s="3">
        <f t="shared" si="6"/>
        <v>0.97324476421169581</v>
      </c>
      <c r="AE36" s="3">
        <f t="shared" si="7"/>
        <v>2.6755235788304153E-2</v>
      </c>
      <c r="AF36" s="3">
        <f t="shared" si="8"/>
        <v>9.8555782144178795E-3</v>
      </c>
      <c r="AG36" s="3">
        <f t="shared" si="9"/>
        <v>1.8811931582781984</v>
      </c>
      <c r="AH36" s="3">
        <f t="shared" si="10"/>
        <v>0.97002717595734778</v>
      </c>
      <c r="AI36" s="3">
        <f t="shared" si="11"/>
        <v>2.9972824042652224E-2</v>
      </c>
      <c r="AJ36" s="20" t="str">
        <f t="shared" si="12"/>
        <v>Put</v>
      </c>
      <c r="AK36" s="20">
        <f t="shared" si="13"/>
        <v>2.4000030124161071</v>
      </c>
      <c r="AL36" s="3">
        <f t="shared" si="14"/>
        <v>2.4000030124161071</v>
      </c>
      <c r="AM36" s="3">
        <f t="shared" si="15"/>
        <v>2.4</v>
      </c>
      <c r="AN36" s="5">
        <f t="shared" si="16"/>
        <v>2.2558654090000001</v>
      </c>
      <c r="AO36" s="5">
        <f t="shared" si="17"/>
        <v>-3.0124161072286881E-6</v>
      </c>
      <c r="AP36" s="5">
        <f t="shared" si="18"/>
        <v>1.9307783277672355</v>
      </c>
      <c r="AQ36" s="5">
        <f t="shared" si="19"/>
        <v>1.8811931582781984</v>
      </c>
      <c r="AR36" s="5">
        <f t="shared" si="20"/>
        <v>2.4</v>
      </c>
      <c r="AS36" s="5">
        <f t="shared" si="21"/>
        <v>2.2558654090000001</v>
      </c>
    </row>
    <row r="37" spans="1:45" x14ac:dyDescent="0.25">
      <c r="A37" s="1">
        <v>45322.666666666664</v>
      </c>
      <c r="B37">
        <v>20240216</v>
      </c>
      <c r="C37">
        <v>4663.5</v>
      </c>
      <c r="D37">
        <v>4648.2287960000003</v>
      </c>
      <c r="E37" t="s">
        <v>42</v>
      </c>
      <c r="F37">
        <v>4275</v>
      </c>
      <c r="G37">
        <v>10</v>
      </c>
      <c r="H37" t="s">
        <v>41</v>
      </c>
      <c r="I37" s="3">
        <v>375.1</v>
      </c>
      <c r="J37" s="3">
        <v>377.1</v>
      </c>
      <c r="K37" s="5">
        <v>22.776515570000001</v>
      </c>
      <c r="L37" s="5">
        <v>0.64329366399999999</v>
      </c>
      <c r="M37" s="5">
        <v>376.0470325</v>
      </c>
      <c r="N37" s="5">
        <v>0.96471163500000001</v>
      </c>
      <c r="O37" s="5">
        <v>0.63963221800000003</v>
      </c>
      <c r="P37" s="5">
        <v>1.5933899999999999E-4</v>
      </c>
      <c r="Q37" s="5">
        <v>-0.35668940900000001</v>
      </c>
      <c r="R37">
        <v>0</v>
      </c>
      <c r="S37" t="b">
        <v>1</v>
      </c>
      <c r="T37" s="1">
        <v>45322.666666666664</v>
      </c>
      <c r="U37" s="1">
        <v>45338.666666666664</v>
      </c>
      <c r="V37" s="3">
        <f t="shared" si="0"/>
        <v>4.3835616438356165E-2</v>
      </c>
      <c r="W37">
        <v>3.7900000000000003E-2</v>
      </c>
      <c r="X37" s="7">
        <v>1E-4</v>
      </c>
      <c r="Y37" s="3">
        <f t="shared" si="1"/>
        <v>8.6982136796057569E-2</v>
      </c>
      <c r="Z37" s="9">
        <f t="shared" si="2"/>
        <v>3.7900005E-2</v>
      </c>
      <c r="AA37" s="3">
        <f t="shared" si="3"/>
        <v>4.3835616438356165E-2</v>
      </c>
      <c r="AB37" s="3">
        <f t="shared" si="4"/>
        <v>2.0936956903608547E-5</v>
      </c>
      <c r="AC37" s="3">
        <f t="shared" si="5"/>
        <v>4233.8295525158846</v>
      </c>
      <c r="AD37" s="3">
        <f t="shared" si="6"/>
        <v>1</v>
      </c>
      <c r="AE37" s="3">
        <f t="shared" si="7"/>
        <v>0</v>
      </c>
      <c r="AF37" s="3">
        <f t="shared" si="8"/>
        <v>3.7899995000000006E-2</v>
      </c>
      <c r="AG37" s="3">
        <f t="shared" si="9"/>
        <v>4233.8295315789283</v>
      </c>
      <c r="AH37" s="3">
        <f t="shared" si="10"/>
        <v>1</v>
      </c>
      <c r="AI37" s="3">
        <f t="shared" si="11"/>
        <v>0</v>
      </c>
      <c r="AJ37" s="20">
        <f t="shared" si="12"/>
        <v>395.59645961004389</v>
      </c>
      <c r="AK37" s="20" t="str">
        <f t="shared" si="13"/>
        <v>Call</v>
      </c>
      <c r="AL37" s="3">
        <f t="shared" si="14"/>
        <v>395.59645961004389</v>
      </c>
      <c r="AM37" s="3">
        <f t="shared" si="15"/>
        <v>377.1</v>
      </c>
      <c r="AN37" s="5">
        <f t="shared" si="16"/>
        <v>376.0470325</v>
      </c>
      <c r="AO37" s="5">
        <f t="shared" si="17"/>
        <v>-18.496459610043871</v>
      </c>
      <c r="AP37" s="5">
        <f t="shared" si="18"/>
        <v>4233.8295525158846</v>
      </c>
      <c r="AQ37" s="5">
        <f t="shared" si="19"/>
        <v>4233.8295315789283</v>
      </c>
      <c r="AR37" s="5">
        <f t="shared" si="20"/>
        <v>377.1</v>
      </c>
      <c r="AS37" s="5">
        <f t="shared" si="21"/>
        <v>376.0470325</v>
      </c>
    </row>
    <row r="38" spans="1:45" x14ac:dyDescent="0.25">
      <c r="A38" s="1">
        <v>45322.666666666664</v>
      </c>
      <c r="B38">
        <v>20240216</v>
      </c>
      <c r="C38">
        <v>4663.5</v>
      </c>
      <c r="D38">
        <v>4648.2287960000003</v>
      </c>
      <c r="E38" t="s">
        <v>40</v>
      </c>
      <c r="F38">
        <v>4275</v>
      </c>
      <c r="G38">
        <v>10</v>
      </c>
      <c r="H38" t="s">
        <v>41</v>
      </c>
      <c r="I38" s="3">
        <v>2.4</v>
      </c>
      <c r="J38" s="3">
        <v>2.7</v>
      </c>
      <c r="K38" s="5">
        <v>22.776515570000001</v>
      </c>
      <c r="L38" s="5">
        <v>0.64329366399999999</v>
      </c>
      <c r="M38" s="5">
        <v>2.5436774870000001</v>
      </c>
      <c r="N38" s="5">
        <v>-3.0462119999999999E-2</v>
      </c>
      <c r="O38" s="5">
        <v>0.63963221800000003</v>
      </c>
      <c r="P38" s="5">
        <v>1.5933899999999999E-4</v>
      </c>
      <c r="Q38" s="5">
        <v>-0.35668940900000001</v>
      </c>
      <c r="R38">
        <v>0</v>
      </c>
      <c r="S38" t="b">
        <v>1</v>
      </c>
      <c r="T38" s="1">
        <v>45322.666666666664</v>
      </c>
      <c r="U38" s="1">
        <v>45338.666666666664</v>
      </c>
      <c r="V38" s="3">
        <f t="shared" si="0"/>
        <v>4.3835616438356165E-2</v>
      </c>
      <c r="W38">
        <v>3.7900000000000003E-2</v>
      </c>
      <c r="X38" s="7">
        <v>0.22904144330947762</v>
      </c>
      <c r="Y38" s="3">
        <f t="shared" si="1"/>
        <v>8.6982136796057569E-2</v>
      </c>
      <c r="Z38" s="9">
        <f t="shared" si="2"/>
        <v>6.4129991376644324E-2</v>
      </c>
      <c r="AA38" s="3">
        <f t="shared" si="3"/>
        <v>4.3835616438356165E-2</v>
      </c>
      <c r="AB38" s="3">
        <f t="shared" si="4"/>
        <v>4.795430827710833E-2</v>
      </c>
      <c r="AC38" s="3">
        <f t="shared" si="5"/>
        <v>1.8724764828503084</v>
      </c>
      <c r="AD38" s="3">
        <f t="shared" si="6"/>
        <v>0.96942964376143359</v>
      </c>
      <c r="AE38" s="3">
        <f t="shared" si="7"/>
        <v>3.0570356238566455E-2</v>
      </c>
      <c r="AF38" s="3">
        <f t="shared" si="8"/>
        <v>1.1670008623355679E-2</v>
      </c>
      <c r="AG38" s="3">
        <f t="shared" si="9"/>
        <v>1.8245221745732001</v>
      </c>
      <c r="AH38" s="3">
        <f t="shared" si="10"/>
        <v>0.96596341645081574</v>
      </c>
      <c r="AI38" s="3">
        <f t="shared" si="11"/>
        <v>3.4036583549184235E-2</v>
      </c>
      <c r="AJ38" s="20" t="str">
        <f t="shared" si="12"/>
        <v>Put</v>
      </c>
      <c r="AK38" s="20">
        <f t="shared" si="13"/>
        <v>2.6999991137872712</v>
      </c>
      <c r="AL38" s="3">
        <f t="shared" si="14"/>
        <v>2.6999991137872712</v>
      </c>
      <c r="AM38" s="3">
        <f t="shared" si="15"/>
        <v>2.7</v>
      </c>
      <c r="AN38" s="5">
        <f t="shared" si="16"/>
        <v>2.5436774870000001</v>
      </c>
      <c r="AO38" s="5">
        <f t="shared" si="17"/>
        <v>8.8621272897881909E-7</v>
      </c>
      <c r="AP38" s="5">
        <f t="shared" si="18"/>
        <v>1.8724764828503084</v>
      </c>
      <c r="AQ38" s="5">
        <f t="shared" si="19"/>
        <v>1.8245221745732001</v>
      </c>
      <c r="AR38" s="5">
        <f t="shared" si="20"/>
        <v>2.7</v>
      </c>
      <c r="AS38" s="5">
        <f t="shared" si="21"/>
        <v>2.5436774870000001</v>
      </c>
    </row>
    <row r="39" spans="1:45" x14ac:dyDescent="0.25">
      <c r="A39" s="1">
        <v>45322.666666666664</v>
      </c>
      <c r="B39">
        <v>20240216</v>
      </c>
      <c r="C39">
        <v>4663.5</v>
      </c>
      <c r="D39">
        <v>4648.2287960000003</v>
      </c>
      <c r="E39" t="s">
        <v>42</v>
      </c>
      <c r="F39">
        <v>4300</v>
      </c>
      <c r="G39">
        <v>10</v>
      </c>
      <c r="H39" t="s">
        <v>41</v>
      </c>
      <c r="I39" s="3">
        <v>350.5</v>
      </c>
      <c r="J39" s="3">
        <v>352.5</v>
      </c>
      <c r="K39" s="5">
        <v>21.95887213</v>
      </c>
      <c r="L39" s="5">
        <v>0.64329366399999999</v>
      </c>
      <c r="M39" s="5">
        <v>351.44250299999999</v>
      </c>
      <c r="N39" s="5">
        <v>0.95993604700000001</v>
      </c>
      <c r="O39" s="5">
        <v>0.72120241299999999</v>
      </c>
      <c r="P39" s="5">
        <v>1.9652100000000001E-4</v>
      </c>
      <c r="Q39" s="5">
        <v>-0.40890435600000002</v>
      </c>
      <c r="R39">
        <v>0</v>
      </c>
      <c r="S39" t="b">
        <v>1</v>
      </c>
      <c r="T39" s="1">
        <v>45322.666666666664</v>
      </c>
      <c r="U39" s="1">
        <v>45338.666666666664</v>
      </c>
      <c r="V39" s="3">
        <f t="shared" si="0"/>
        <v>4.3835616438356165E-2</v>
      </c>
      <c r="W39">
        <v>3.7900000000000003E-2</v>
      </c>
      <c r="X39" s="7">
        <v>1E-4</v>
      </c>
      <c r="Y39" s="3">
        <f t="shared" si="1"/>
        <v>8.115121648526448E-2</v>
      </c>
      <c r="Z39" s="9">
        <f t="shared" si="2"/>
        <v>3.7900005E-2</v>
      </c>
      <c r="AA39" s="3">
        <f t="shared" si="3"/>
        <v>4.3835616438356165E-2</v>
      </c>
      <c r="AB39" s="3">
        <f t="shared" si="4"/>
        <v>2.0936956903608547E-5</v>
      </c>
      <c r="AC39" s="3">
        <f t="shared" si="5"/>
        <v>3955.3306122143881</v>
      </c>
      <c r="AD39" s="3">
        <f t="shared" si="6"/>
        <v>1</v>
      </c>
      <c r="AE39" s="3">
        <f t="shared" si="7"/>
        <v>0</v>
      </c>
      <c r="AF39" s="3">
        <f t="shared" si="8"/>
        <v>3.7899995000000006E-2</v>
      </c>
      <c r="AG39" s="3">
        <f t="shared" si="9"/>
        <v>3955.3305912774317</v>
      </c>
      <c r="AH39" s="3">
        <f t="shared" si="10"/>
        <v>1</v>
      </c>
      <c r="AI39" s="3">
        <f t="shared" si="11"/>
        <v>0</v>
      </c>
      <c r="AJ39" s="20">
        <f t="shared" si="12"/>
        <v>370.63795937384566</v>
      </c>
      <c r="AK39" s="20" t="str">
        <f t="shared" si="13"/>
        <v>Call</v>
      </c>
      <c r="AL39" s="3">
        <f t="shared" si="14"/>
        <v>370.63795937384566</v>
      </c>
      <c r="AM39" s="3">
        <f t="shared" si="15"/>
        <v>352.5</v>
      </c>
      <c r="AN39" s="5">
        <f t="shared" si="16"/>
        <v>351.44250299999999</v>
      </c>
      <c r="AO39" s="5">
        <f t="shared" si="17"/>
        <v>-18.137959373845661</v>
      </c>
      <c r="AP39" s="5">
        <f t="shared" si="18"/>
        <v>3955.3306122143881</v>
      </c>
      <c r="AQ39" s="5">
        <f t="shared" si="19"/>
        <v>3955.3305912774317</v>
      </c>
      <c r="AR39" s="5">
        <f t="shared" si="20"/>
        <v>352.5</v>
      </c>
      <c r="AS39" s="5">
        <f t="shared" si="21"/>
        <v>351.44250299999999</v>
      </c>
    </row>
    <row r="40" spans="1:45" x14ac:dyDescent="0.25">
      <c r="A40" s="1">
        <v>45322.666666666664</v>
      </c>
      <c r="B40">
        <v>20240216</v>
      </c>
      <c r="C40">
        <v>4663.5</v>
      </c>
      <c r="D40">
        <v>4648.2287960000003</v>
      </c>
      <c r="E40" t="s">
        <v>40</v>
      </c>
      <c r="F40">
        <v>4300</v>
      </c>
      <c r="G40">
        <v>10</v>
      </c>
      <c r="H40" t="s">
        <v>41</v>
      </c>
      <c r="I40" s="3">
        <v>2.7</v>
      </c>
      <c r="J40" s="3">
        <v>3</v>
      </c>
      <c r="K40" s="5">
        <v>21.95887213</v>
      </c>
      <c r="L40" s="5">
        <v>0.64329366399999999</v>
      </c>
      <c r="M40" s="5">
        <v>2.8952266930000001</v>
      </c>
      <c r="N40" s="5">
        <v>-3.5237708E-2</v>
      </c>
      <c r="O40" s="5">
        <v>0.72120241299999999</v>
      </c>
      <c r="P40" s="5">
        <v>1.9652100000000001E-4</v>
      </c>
      <c r="Q40" s="5">
        <v>-0.40890435600000002</v>
      </c>
      <c r="R40">
        <v>0</v>
      </c>
      <c r="S40" t="b">
        <v>1</v>
      </c>
      <c r="T40" s="1">
        <v>45322.666666666664</v>
      </c>
      <c r="U40" s="1">
        <v>45338.666666666664</v>
      </c>
      <c r="V40" s="3">
        <f t="shared" si="0"/>
        <v>4.3835616438356165E-2</v>
      </c>
      <c r="W40">
        <v>3.7900000000000003E-2</v>
      </c>
      <c r="X40" s="7">
        <v>0.22057317530395304</v>
      </c>
      <c r="Y40" s="3">
        <f t="shared" si="1"/>
        <v>8.115121648526448E-2</v>
      </c>
      <c r="Z40" s="9">
        <f t="shared" si="2"/>
        <v>6.2226262831834203E-2</v>
      </c>
      <c r="AA40" s="3">
        <f t="shared" si="3"/>
        <v>4.3835616438356165E-2</v>
      </c>
      <c r="AB40" s="3">
        <f t="shared" si="4"/>
        <v>4.6181310654309582E-2</v>
      </c>
      <c r="AC40" s="3">
        <f t="shared" si="5"/>
        <v>1.8162962871069062</v>
      </c>
      <c r="AD40" s="3">
        <f t="shared" si="6"/>
        <v>0.96533753274831313</v>
      </c>
      <c r="AE40" s="3">
        <f t="shared" si="7"/>
        <v>3.4662467251686847E-2</v>
      </c>
      <c r="AF40" s="3">
        <f t="shared" si="8"/>
        <v>1.3573737168165803E-2</v>
      </c>
      <c r="AG40" s="3">
        <f t="shared" si="9"/>
        <v>1.7701149764525965</v>
      </c>
      <c r="AH40" s="3">
        <f t="shared" si="10"/>
        <v>0.96164600541775724</v>
      </c>
      <c r="AI40" s="3">
        <f t="shared" si="11"/>
        <v>3.8353994582242708E-2</v>
      </c>
      <c r="AJ40" s="20" t="str">
        <f t="shared" si="12"/>
        <v>Put</v>
      </c>
      <c r="AK40" s="20">
        <f t="shared" si="13"/>
        <v>2.9999914202493017</v>
      </c>
      <c r="AL40" s="3">
        <f t="shared" si="14"/>
        <v>2.9999914202493017</v>
      </c>
      <c r="AM40" s="3">
        <f t="shared" si="15"/>
        <v>3</v>
      </c>
      <c r="AN40" s="5">
        <f t="shared" si="16"/>
        <v>2.8952266930000001</v>
      </c>
      <c r="AO40" s="5">
        <f t="shared" si="17"/>
        <v>8.5797506983453786E-6</v>
      </c>
      <c r="AP40" s="5">
        <f t="shared" si="18"/>
        <v>1.8162962871069062</v>
      </c>
      <c r="AQ40" s="5">
        <f t="shared" si="19"/>
        <v>1.7701149764525965</v>
      </c>
      <c r="AR40" s="5">
        <f t="shared" si="20"/>
        <v>3</v>
      </c>
      <c r="AS40" s="5">
        <f t="shared" si="21"/>
        <v>2.8952266930000001</v>
      </c>
    </row>
    <row r="41" spans="1:45" x14ac:dyDescent="0.25">
      <c r="A41" s="1">
        <v>45322.666666666664</v>
      </c>
      <c r="B41">
        <v>20240216</v>
      </c>
      <c r="C41">
        <v>4663.5</v>
      </c>
      <c r="D41">
        <v>4648.2287960000003</v>
      </c>
      <c r="E41" t="s">
        <v>42</v>
      </c>
      <c r="F41">
        <v>4325</v>
      </c>
      <c r="G41">
        <v>10</v>
      </c>
      <c r="H41" t="s">
        <v>41</v>
      </c>
      <c r="I41" s="3">
        <v>325.89999999999998</v>
      </c>
      <c r="J41" s="3">
        <v>327.9</v>
      </c>
      <c r="K41" s="5">
        <v>21.161437060000001</v>
      </c>
      <c r="L41" s="5">
        <v>0.64329366399999999</v>
      </c>
      <c r="M41" s="5">
        <v>326.9212794</v>
      </c>
      <c r="N41" s="5">
        <v>0.95405495799999995</v>
      </c>
      <c r="O41" s="5">
        <v>0.81792645399999997</v>
      </c>
      <c r="P41" s="5">
        <v>2.44591E-4</v>
      </c>
      <c r="Q41" s="5">
        <v>-0.47263317500000002</v>
      </c>
      <c r="R41">
        <v>0</v>
      </c>
      <c r="S41" t="b">
        <v>1</v>
      </c>
      <c r="T41" s="1">
        <v>45322.666666666664</v>
      </c>
      <c r="U41" s="1">
        <v>45338.666666666664</v>
      </c>
      <c r="V41" s="3">
        <f t="shared" si="0"/>
        <v>4.3835616438356165E-2</v>
      </c>
      <c r="W41">
        <v>3.7900000000000003E-2</v>
      </c>
      <c r="X41" s="7">
        <v>1E-4</v>
      </c>
      <c r="Y41" s="3">
        <f t="shared" si="1"/>
        <v>7.535409880093849E-2</v>
      </c>
      <c r="Z41" s="9">
        <f t="shared" si="2"/>
        <v>3.7900005E-2</v>
      </c>
      <c r="AA41" s="3">
        <f t="shared" si="3"/>
        <v>4.3835616438356165E-2</v>
      </c>
      <c r="AB41" s="3">
        <f t="shared" si="4"/>
        <v>2.0936956903608547E-5</v>
      </c>
      <c r="AC41" s="3">
        <f t="shared" si="5"/>
        <v>3678.4461675925991</v>
      </c>
      <c r="AD41" s="3">
        <f t="shared" si="6"/>
        <v>1</v>
      </c>
      <c r="AE41" s="3">
        <f t="shared" si="7"/>
        <v>0</v>
      </c>
      <c r="AF41" s="3">
        <f t="shared" si="8"/>
        <v>3.7899995000000006E-2</v>
      </c>
      <c r="AG41" s="3">
        <f t="shared" si="9"/>
        <v>3678.4461466556422</v>
      </c>
      <c r="AH41" s="3">
        <f t="shared" si="10"/>
        <v>1</v>
      </c>
      <c r="AI41" s="3">
        <f t="shared" si="11"/>
        <v>0</v>
      </c>
      <c r="AJ41" s="20">
        <f t="shared" si="12"/>
        <v>345.67945913764743</v>
      </c>
      <c r="AK41" s="20" t="str">
        <f t="shared" si="13"/>
        <v>Call</v>
      </c>
      <c r="AL41" s="3">
        <f t="shared" si="14"/>
        <v>345.67945913764743</v>
      </c>
      <c r="AM41" s="3">
        <f t="shared" si="15"/>
        <v>327.9</v>
      </c>
      <c r="AN41" s="5">
        <f t="shared" si="16"/>
        <v>326.9212794</v>
      </c>
      <c r="AO41" s="5">
        <f t="shared" si="17"/>
        <v>-17.77945913764745</v>
      </c>
      <c r="AP41" s="5">
        <f t="shared" si="18"/>
        <v>3678.4461675925991</v>
      </c>
      <c r="AQ41" s="5">
        <f t="shared" si="19"/>
        <v>3678.4461466556422</v>
      </c>
      <c r="AR41" s="5">
        <f t="shared" si="20"/>
        <v>327.9</v>
      </c>
      <c r="AS41" s="5">
        <f t="shared" si="21"/>
        <v>326.9212794</v>
      </c>
    </row>
    <row r="42" spans="1:45" x14ac:dyDescent="0.25">
      <c r="A42" s="1">
        <v>45322.666666666664</v>
      </c>
      <c r="B42">
        <v>20240216</v>
      </c>
      <c r="C42">
        <v>4663.5</v>
      </c>
      <c r="D42">
        <v>4648.2287960000003</v>
      </c>
      <c r="E42" t="s">
        <v>40</v>
      </c>
      <c r="F42">
        <v>4325</v>
      </c>
      <c r="G42">
        <v>10</v>
      </c>
      <c r="H42" t="s">
        <v>41</v>
      </c>
      <c r="I42" s="3">
        <v>3.2</v>
      </c>
      <c r="J42" s="3">
        <v>3.4</v>
      </c>
      <c r="K42" s="5">
        <v>21.161437060000001</v>
      </c>
      <c r="L42" s="5">
        <v>0.64329366399999999</v>
      </c>
      <c r="M42" s="5">
        <v>3.3300817070000002</v>
      </c>
      <c r="N42" s="5">
        <v>-4.1118795999999999E-2</v>
      </c>
      <c r="O42" s="5">
        <v>0.81792645399999997</v>
      </c>
      <c r="P42" s="5">
        <v>2.44591E-4</v>
      </c>
      <c r="Q42" s="5">
        <v>-0.47263317500000002</v>
      </c>
      <c r="R42">
        <v>0</v>
      </c>
      <c r="S42" t="b">
        <v>1</v>
      </c>
      <c r="T42" s="1">
        <v>45322.666666666664</v>
      </c>
      <c r="U42" s="1">
        <v>45338.666666666664</v>
      </c>
      <c r="V42" s="3">
        <f t="shared" si="0"/>
        <v>4.3835616438356165E-2</v>
      </c>
      <c r="W42">
        <v>3.7900000000000003E-2</v>
      </c>
      <c r="X42" s="7">
        <v>0.21270007957298301</v>
      </c>
      <c r="Y42" s="3">
        <f t="shared" si="1"/>
        <v>7.535409880093849E-2</v>
      </c>
      <c r="Z42" s="9">
        <f t="shared" si="2"/>
        <v>6.0520661925176654E-2</v>
      </c>
      <c r="AA42" s="3">
        <f t="shared" si="3"/>
        <v>4.3835616438356165E-2</v>
      </c>
      <c r="AB42" s="3">
        <f t="shared" si="4"/>
        <v>4.4532923994136539E-2</v>
      </c>
      <c r="AC42" s="3">
        <f t="shared" si="5"/>
        <v>1.7516716246603707</v>
      </c>
      <c r="AD42" s="3">
        <f t="shared" si="6"/>
        <v>0.96008485561718193</v>
      </c>
      <c r="AE42" s="3">
        <f t="shared" si="7"/>
        <v>3.9915144382818055E-2</v>
      </c>
      <c r="AF42" s="3">
        <f t="shared" si="8"/>
        <v>1.5279338074823352E-2</v>
      </c>
      <c r="AG42" s="3">
        <f t="shared" si="9"/>
        <v>1.7071387006662344</v>
      </c>
      <c r="AH42" s="3">
        <f t="shared" si="10"/>
        <v>0.95610186231866512</v>
      </c>
      <c r="AI42" s="3">
        <f t="shared" si="11"/>
        <v>4.3898137681334853E-2</v>
      </c>
      <c r="AJ42" s="20" t="str">
        <f t="shared" si="12"/>
        <v>Put</v>
      </c>
      <c r="AK42" s="20">
        <f t="shared" si="13"/>
        <v>3.4000047567992624</v>
      </c>
      <c r="AL42" s="3">
        <f t="shared" si="14"/>
        <v>3.4000047567992624</v>
      </c>
      <c r="AM42" s="3">
        <f t="shared" si="15"/>
        <v>3.4</v>
      </c>
      <c r="AN42" s="5">
        <f t="shared" si="16"/>
        <v>3.3300817070000002</v>
      </c>
      <c r="AO42" s="5">
        <f t="shared" si="17"/>
        <v>-4.7567992624841793E-6</v>
      </c>
      <c r="AP42" s="5">
        <f t="shared" si="18"/>
        <v>1.7516716246603707</v>
      </c>
      <c r="AQ42" s="5">
        <f t="shared" si="19"/>
        <v>1.7071387006662344</v>
      </c>
      <c r="AR42" s="5">
        <f t="shared" si="20"/>
        <v>3.4</v>
      </c>
      <c r="AS42" s="5">
        <f t="shared" si="21"/>
        <v>3.3300817070000002</v>
      </c>
    </row>
    <row r="43" spans="1:45" x14ac:dyDescent="0.25">
      <c r="A43" s="1">
        <v>45322.666666666664</v>
      </c>
      <c r="B43">
        <v>20240216</v>
      </c>
      <c r="C43">
        <v>4663.5</v>
      </c>
      <c r="D43">
        <v>4648.2287960000003</v>
      </c>
      <c r="E43" t="s">
        <v>42</v>
      </c>
      <c r="F43">
        <v>4350</v>
      </c>
      <c r="G43">
        <v>10</v>
      </c>
      <c r="H43" t="s">
        <v>41</v>
      </c>
      <c r="I43" s="3">
        <v>301.5</v>
      </c>
      <c r="J43" s="3">
        <v>303.5</v>
      </c>
      <c r="K43" s="5">
        <v>20.387386589999998</v>
      </c>
      <c r="L43" s="5">
        <v>0.64329366399999999</v>
      </c>
      <c r="M43" s="5">
        <v>302.50948929999998</v>
      </c>
      <c r="N43" s="5">
        <v>0.94674934099999997</v>
      </c>
      <c r="O43" s="5">
        <v>0.93302755199999998</v>
      </c>
      <c r="P43" s="5">
        <v>3.06275E-4</v>
      </c>
      <c r="Q43" s="5">
        <v>-0.54932380999999997</v>
      </c>
      <c r="R43">
        <v>0</v>
      </c>
      <c r="S43" t="b">
        <v>1</v>
      </c>
      <c r="T43" s="1">
        <v>45322.666666666664</v>
      </c>
      <c r="U43" s="1">
        <v>45338.666666666664</v>
      </c>
      <c r="V43" s="3">
        <f t="shared" si="0"/>
        <v>4.3835616438356165E-2</v>
      </c>
      <c r="W43">
        <v>3.7900000000000003E-2</v>
      </c>
      <c r="X43" s="7">
        <v>1E-4</v>
      </c>
      <c r="Y43" s="3">
        <f t="shared" si="1"/>
        <v>6.9590394084188337E-2</v>
      </c>
      <c r="Z43" s="9">
        <f t="shared" si="2"/>
        <v>3.7900005E-2</v>
      </c>
      <c r="AA43" s="3">
        <f t="shared" si="3"/>
        <v>4.3835616438356165E-2</v>
      </c>
      <c r="AB43" s="3">
        <f t="shared" si="4"/>
        <v>2.0936956903608547E-5</v>
      </c>
      <c r="AC43" s="3">
        <f t="shared" si="5"/>
        <v>3403.1576075938551</v>
      </c>
      <c r="AD43" s="3">
        <f t="shared" si="6"/>
        <v>1</v>
      </c>
      <c r="AE43" s="3">
        <f t="shared" si="7"/>
        <v>0</v>
      </c>
      <c r="AF43" s="3">
        <f t="shared" si="8"/>
        <v>3.7899995000000006E-2</v>
      </c>
      <c r="AG43" s="3">
        <f t="shared" si="9"/>
        <v>3403.1575866568987</v>
      </c>
      <c r="AH43" s="3">
        <f t="shared" si="10"/>
        <v>1</v>
      </c>
      <c r="AI43" s="3">
        <f t="shared" si="11"/>
        <v>0</v>
      </c>
      <c r="AJ43" s="20">
        <f t="shared" si="12"/>
        <v>320.72095890144828</v>
      </c>
      <c r="AK43" s="20" t="str">
        <f t="shared" si="13"/>
        <v>Call</v>
      </c>
      <c r="AL43" s="3">
        <f t="shared" si="14"/>
        <v>320.72095890144828</v>
      </c>
      <c r="AM43" s="3">
        <f t="shared" si="15"/>
        <v>303.5</v>
      </c>
      <c r="AN43" s="5">
        <f t="shared" si="16"/>
        <v>302.50948929999998</v>
      </c>
      <c r="AO43" s="5">
        <f t="shared" si="17"/>
        <v>-17.220958901448284</v>
      </c>
      <c r="AP43" s="5">
        <f t="shared" si="18"/>
        <v>3403.1576075938551</v>
      </c>
      <c r="AQ43" s="5">
        <f t="shared" si="19"/>
        <v>3403.1575866568987</v>
      </c>
      <c r="AR43" s="5">
        <f t="shared" si="20"/>
        <v>303.5</v>
      </c>
      <c r="AS43" s="5">
        <f t="shared" si="21"/>
        <v>302.50948929999998</v>
      </c>
    </row>
    <row r="44" spans="1:45" x14ac:dyDescent="0.25">
      <c r="A44" s="1">
        <v>45322.666666666664</v>
      </c>
      <c r="B44">
        <v>20240216</v>
      </c>
      <c r="C44">
        <v>4663.5</v>
      </c>
      <c r="D44">
        <v>4648.2287960000003</v>
      </c>
      <c r="E44" t="s">
        <v>40</v>
      </c>
      <c r="F44">
        <v>4350</v>
      </c>
      <c r="G44">
        <v>10</v>
      </c>
      <c r="H44" t="s">
        <v>41</v>
      </c>
      <c r="I44" s="3">
        <v>3.7</v>
      </c>
      <c r="J44" s="3">
        <v>4</v>
      </c>
      <c r="K44" s="5">
        <v>20.387386589999998</v>
      </c>
      <c r="L44" s="5">
        <v>0.64329366399999999</v>
      </c>
      <c r="M44" s="5">
        <v>3.8743702369999999</v>
      </c>
      <c r="N44" s="5">
        <v>-4.8424413999999999E-2</v>
      </c>
      <c r="O44" s="5">
        <v>0.93302755199999998</v>
      </c>
      <c r="P44" s="5">
        <v>3.06275E-4</v>
      </c>
      <c r="Q44" s="5">
        <v>-0.54932380999999997</v>
      </c>
      <c r="R44">
        <v>0</v>
      </c>
      <c r="S44" t="b">
        <v>1</v>
      </c>
      <c r="T44" s="1">
        <v>45322.666666666664</v>
      </c>
      <c r="U44" s="1">
        <v>45338.666666666664</v>
      </c>
      <c r="V44" s="3">
        <f t="shared" si="0"/>
        <v>4.3835616438356165E-2</v>
      </c>
      <c r="W44">
        <v>3.7900000000000003E-2</v>
      </c>
      <c r="X44" s="7">
        <v>0.20615009173162943</v>
      </c>
      <c r="Y44" s="3">
        <f t="shared" si="1"/>
        <v>6.9590394084188337E-2</v>
      </c>
      <c r="Z44" s="9">
        <f t="shared" si="2"/>
        <v>5.9148930160479618E-2</v>
      </c>
      <c r="AA44" s="3">
        <f t="shared" si="3"/>
        <v>4.3835616438356165E-2</v>
      </c>
      <c r="AB44" s="3">
        <f t="shared" si="4"/>
        <v>4.3161555862600738E-2</v>
      </c>
      <c r="AC44" s="3">
        <f t="shared" si="5"/>
        <v>1.6723962437597997</v>
      </c>
      <c r="AD44" s="3">
        <f t="shared" si="6"/>
        <v>0.95277689384107422</v>
      </c>
      <c r="AE44" s="3">
        <f t="shared" si="7"/>
        <v>4.7223106158925825E-2</v>
      </c>
      <c r="AF44" s="3">
        <f t="shared" si="8"/>
        <v>1.6651069839520388E-2</v>
      </c>
      <c r="AG44" s="3">
        <f t="shared" si="9"/>
        <v>1.6292346878971991</v>
      </c>
      <c r="AH44" s="3">
        <f t="shared" si="10"/>
        <v>0.94836832682619066</v>
      </c>
      <c r="AI44" s="3">
        <f t="shared" si="11"/>
        <v>5.16316731738094E-2</v>
      </c>
      <c r="AJ44" s="20" t="str">
        <f t="shared" si="12"/>
        <v>Put</v>
      </c>
      <c r="AK44" s="20">
        <f t="shared" si="13"/>
        <v>3.9999925439192339</v>
      </c>
      <c r="AL44" s="3">
        <f t="shared" si="14"/>
        <v>3.9999925439192339</v>
      </c>
      <c r="AM44" s="3">
        <f t="shared" si="15"/>
        <v>4</v>
      </c>
      <c r="AN44" s="5">
        <f t="shared" si="16"/>
        <v>3.8743702369999999</v>
      </c>
      <c r="AO44" s="5">
        <f t="shared" si="17"/>
        <v>7.4560807661327999E-6</v>
      </c>
      <c r="AP44" s="5">
        <f t="shared" si="18"/>
        <v>1.6723962437597997</v>
      </c>
      <c r="AQ44" s="5">
        <f t="shared" si="19"/>
        <v>1.6292346878971991</v>
      </c>
      <c r="AR44" s="5">
        <f t="shared" si="20"/>
        <v>4</v>
      </c>
      <c r="AS44" s="5">
        <f t="shared" si="21"/>
        <v>3.8743702369999999</v>
      </c>
    </row>
    <row r="45" spans="1:45" x14ac:dyDescent="0.25">
      <c r="A45" s="1">
        <v>45322.666666666664</v>
      </c>
      <c r="B45">
        <v>20240216</v>
      </c>
      <c r="C45">
        <v>4663.5</v>
      </c>
      <c r="D45">
        <v>4648.2287960000003</v>
      </c>
      <c r="E45" t="s">
        <v>42</v>
      </c>
      <c r="F45">
        <v>4375</v>
      </c>
      <c r="G45">
        <v>10</v>
      </c>
      <c r="H45" t="s">
        <v>41</v>
      </c>
      <c r="I45" s="3">
        <v>277.2</v>
      </c>
      <c r="J45" s="3">
        <v>279.3</v>
      </c>
      <c r="K45" s="5">
        <v>19.636345339999998</v>
      </c>
      <c r="L45" s="5">
        <v>0.64329366399999999</v>
      </c>
      <c r="M45" s="5">
        <v>278.23841220000003</v>
      </c>
      <c r="N45" s="5">
        <v>0.93763755000000004</v>
      </c>
      <c r="O45" s="5">
        <v>1.0697103889999999</v>
      </c>
      <c r="P45" s="5">
        <v>3.84884E-4</v>
      </c>
      <c r="Q45" s="5">
        <v>-0.640389392</v>
      </c>
      <c r="R45">
        <v>0</v>
      </c>
      <c r="S45" t="b">
        <v>1</v>
      </c>
      <c r="T45" s="1">
        <v>45322.666666666664</v>
      </c>
      <c r="U45" s="1">
        <v>45338.666666666664</v>
      </c>
      <c r="V45" s="3">
        <f t="shared" si="0"/>
        <v>4.3835616438356165E-2</v>
      </c>
      <c r="W45">
        <v>3.7900000000000003E-2</v>
      </c>
      <c r="X45" s="7">
        <v>1E-4</v>
      </c>
      <c r="Y45" s="3">
        <f t="shared" si="1"/>
        <v>6.3859719375203336E-2</v>
      </c>
      <c r="Z45" s="9">
        <f t="shared" si="2"/>
        <v>3.7900005E-2</v>
      </c>
      <c r="AA45" s="3">
        <f t="shared" si="3"/>
        <v>4.3835616438356165E-2</v>
      </c>
      <c r="AB45" s="3">
        <f t="shared" si="4"/>
        <v>2.0936956903608547E-5</v>
      </c>
      <c r="AC45" s="3">
        <f t="shared" si="5"/>
        <v>3129.4466411258818</v>
      </c>
      <c r="AD45" s="3">
        <f t="shared" si="6"/>
        <v>1</v>
      </c>
      <c r="AE45" s="3">
        <f t="shared" si="7"/>
        <v>0</v>
      </c>
      <c r="AF45" s="3">
        <f t="shared" si="8"/>
        <v>3.7899995000000006E-2</v>
      </c>
      <c r="AG45" s="3">
        <f t="shared" si="9"/>
        <v>3129.4466201889254</v>
      </c>
      <c r="AH45" s="3">
        <f t="shared" si="10"/>
        <v>1</v>
      </c>
      <c r="AI45" s="3">
        <f t="shared" si="11"/>
        <v>0</v>
      </c>
      <c r="AJ45" s="20">
        <f t="shared" si="12"/>
        <v>295.76245866525005</v>
      </c>
      <c r="AK45" s="20" t="str">
        <f t="shared" si="13"/>
        <v>Call</v>
      </c>
      <c r="AL45" s="3">
        <f t="shared" si="14"/>
        <v>295.76245866525005</v>
      </c>
      <c r="AM45" s="3">
        <f t="shared" si="15"/>
        <v>279.3</v>
      </c>
      <c r="AN45" s="5">
        <f t="shared" si="16"/>
        <v>278.23841220000003</v>
      </c>
      <c r="AO45" s="5">
        <f t="shared" si="17"/>
        <v>-16.46245866525004</v>
      </c>
      <c r="AP45" s="5">
        <f t="shared" si="18"/>
        <v>3129.4466411258818</v>
      </c>
      <c r="AQ45" s="5">
        <f t="shared" si="19"/>
        <v>3129.4466201889254</v>
      </c>
      <c r="AR45" s="5">
        <f t="shared" si="20"/>
        <v>279.3</v>
      </c>
      <c r="AS45" s="5">
        <f t="shared" si="21"/>
        <v>278.23841220000003</v>
      </c>
    </row>
    <row r="46" spans="1:45" x14ac:dyDescent="0.25">
      <c r="A46" s="1">
        <v>45322.666666666664</v>
      </c>
      <c r="B46">
        <v>20240216</v>
      </c>
      <c r="C46">
        <v>4663.5</v>
      </c>
      <c r="D46">
        <v>4648.2287960000003</v>
      </c>
      <c r="E46" t="s">
        <v>40</v>
      </c>
      <c r="F46">
        <v>4375</v>
      </c>
      <c r="G46">
        <v>10</v>
      </c>
      <c r="H46" t="s">
        <v>41</v>
      </c>
      <c r="I46" s="3">
        <v>4.4000000000000004</v>
      </c>
      <c r="J46" s="3">
        <v>4.7</v>
      </c>
      <c r="K46" s="5">
        <v>19.636345339999998</v>
      </c>
      <c r="L46" s="5">
        <v>0.64329366399999999</v>
      </c>
      <c r="M46" s="5">
        <v>4.5593718379999997</v>
      </c>
      <c r="N46" s="5">
        <v>-5.7536205E-2</v>
      </c>
      <c r="O46" s="5">
        <v>1.0697103889999999</v>
      </c>
      <c r="P46" s="5">
        <v>3.84884E-4</v>
      </c>
      <c r="Q46" s="5">
        <v>-0.640389392</v>
      </c>
      <c r="R46">
        <v>0</v>
      </c>
      <c r="S46" t="b">
        <v>1</v>
      </c>
      <c r="T46" s="1">
        <v>45322.666666666664</v>
      </c>
      <c r="U46" s="1">
        <v>45338.666666666664</v>
      </c>
      <c r="V46" s="3">
        <f t="shared" si="0"/>
        <v>4.3835616438356165E-2</v>
      </c>
      <c r="W46">
        <v>3.7900000000000003E-2</v>
      </c>
      <c r="X46" s="7">
        <v>0.19936352425989645</v>
      </c>
      <c r="Y46" s="3">
        <f t="shared" si="1"/>
        <v>6.3859719375203336E-2</v>
      </c>
      <c r="Z46" s="9">
        <f t="shared" si="2"/>
        <v>5.7772907402663165E-2</v>
      </c>
      <c r="AA46" s="3">
        <f t="shared" si="3"/>
        <v>4.3835616438356165E-2</v>
      </c>
      <c r="AB46" s="3">
        <f t="shared" si="4"/>
        <v>4.1740655155809693E-2</v>
      </c>
      <c r="AC46" s="3">
        <f t="shared" si="5"/>
        <v>1.5905890824378761</v>
      </c>
      <c r="AD46" s="3">
        <f t="shared" si="6"/>
        <v>0.94414895846239788</v>
      </c>
      <c r="AE46" s="3">
        <f t="shared" si="7"/>
        <v>5.5851041537602099E-2</v>
      </c>
      <c r="AF46" s="3">
        <f t="shared" si="8"/>
        <v>1.8027092597336841E-2</v>
      </c>
      <c r="AG46" s="3">
        <f t="shared" si="9"/>
        <v>1.5488484272820666</v>
      </c>
      <c r="AH46" s="3">
        <f t="shared" si="10"/>
        <v>0.93929091952561627</v>
      </c>
      <c r="AI46" s="3">
        <f t="shared" si="11"/>
        <v>6.0709080474383739E-2</v>
      </c>
      <c r="AJ46" s="20" t="str">
        <f t="shared" si="12"/>
        <v>Put</v>
      </c>
      <c r="AK46" s="20">
        <f t="shared" si="13"/>
        <v>4.6999976772709147</v>
      </c>
      <c r="AL46" s="3">
        <f t="shared" si="14"/>
        <v>4.6999976772709147</v>
      </c>
      <c r="AM46" s="3">
        <f t="shared" si="15"/>
        <v>4.7</v>
      </c>
      <c r="AN46" s="5">
        <f t="shared" si="16"/>
        <v>4.5593718379999997</v>
      </c>
      <c r="AO46" s="5">
        <f t="shared" si="17"/>
        <v>2.322729085513231E-6</v>
      </c>
      <c r="AP46" s="5">
        <f t="shared" si="18"/>
        <v>1.5905890824378761</v>
      </c>
      <c r="AQ46" s="5">
        <f t="shared" si="19"/>
        <v>1.5488484272820666</v>
      </c>
      <c r="AR46" s="5">
        <f t="shared" si="20"/>
        <v>4.7</v>
      </c>
      <c r="AS46" s="5">
        <f t="shared" si="21"/>
        <v>4.5593718379999997</v>
      </c>
    </row>
    <row r="47" spans="1:45" x14ac:dyDescent="0.25">
      <c r="A47" s="1">
        <v>45322.666666666664</v>
      </c>
      <c r="B47">
        <v>20240216</v>
      </c>
      <c r="C47">
        <v>4663.5</v>
      </c>
      <c r="D47">
        <v>4648.2287960000003</v>
      </c>
      <c r="E47" t="s">
        <v>42</v>
      </c>
      <c r="F47">
        <v>4400</v>
      </c>
      <c r="G47">
        <v>10</v>
      </c>
      <c r="H47" t="s">
        <v>41</v>
      </c>
      <c r="I47" s="3">
        <v>253.2</v>
      </c>
      <c r="J47" s="3">
        <v>255.2</v>
      </c>
      <c r="K47" s="5">
        <v>18.90794558</v>
      </c>
      <c r="L47" s="5">
        <v>0.64329366399999999</v>
      </c>
      <c r="M47" s="5">
        <v>254.14909800000001</v>
      </c>
      <c r="N47" s="5">
        <v>0.92623614600000004</v>
      </c>
      <c r="O47" s="5">
        <v>1.2313655590000001</v>
      </c>
      <c r="P47" s="5">
        <v>4.8493199999999998E-4</v>
      </c>
      <c r="Q47" s="5">
        <v>-0.74810522800000001</v>
      </c>
      <c r="R47">
        <v>0</v>
      </c>
      <c r="S47" t="b">
        <v>1</v>
      </c>
      <c r="T47" s="1">
        <v>45322.666666666664</v>
      </c>
      <c r="U47" s="1">
        <v>45338.666666666664</v>
      </c>
      <c r="V47" s="3">
        <f t="shared" si="0"/>
        <v>4.3835616438356165E-2</v>
      </c>
      <c r="W47">
        <v>3.7900000000000003E-2</v>
      </c>
      <c r="X47" s="7">
        <v>1E-4</v>
      </c>
      <c r="Y47" s="3">
        <f t="shared" si="1"/>
        <v>5.8161698260565602E-2</v>
      </c>
      <c r="Z47" s="9">
        <f t="shared" si="2"/>
        <v>3.7900005E-2</v>
      </c>
      <c r="AA47" s="3">
        <f t="shared" si="3"/>
        <v>4.3835616438356165E-2</v>
      </c>
      <c r="AB47" s="3">
        <f t="shared" si="4"/>
        <v>2.0936956903608547E-5</v>
      </c>
      <c r="AC47" s="3">
        <f t="shared" si="5"/>
        <v>2857.2952897680511</v>
      </c>
      <c r="AD47" s="3">
        <f t="shared" si="6"/>
        <v>1</v>
      </c>
      <c r="AE47" s="3">
        <f t="shared" si="7"/>
        <v>0</v>
      </c>
      <c r="AF47" s="3">
        <f t="shared" si="8"/>
        <v>3.7899995000000006E-2</v>
      </c>
      <c r="AG47" s="3">
        <f t="shared" si="9"/>
        <v>2857.2952688310943</v>
      </c>
      <c r="AH47" s="3">
        <f t="shared" si="10"/>
        <v>1</v>
      </c>
      <c r="AI47" s="3">
        <f t="shared" si="11"/>
        <v>0</v>
      </c>
      <c r="AJ47" s="20">
        <f t="shared" si="12"/>
        <v>270.80395842905091</v>
      </c>
      <c r="AK47" s="20" t="str">
        <f t="shared" si="13"/>
        <v>Call</v>
      </c>
      <c r="AL47" s="3">
        <f t="shared" si="14"/>
        <v>270.80395842905091</v>
      </c>
      <c r="AM47" s="3">
        <f t="shared" si="15"/>
        <v>255.2</v>
      </c>
      <c r="AN47" s="5">
        <f t="shared" si="16"/>
        <v>254.14909800000001</v>
      </c>
      <c r="AO47" s="5">
        <f t="shared" si="17"/>
        <v>-15.60395842905092</v>
      </c>
      <c r="AP47" s="5">
        <f t="shared" si="18"/>
        <v>2857.2952897680511</v>
      </c>
      <c r="AQ47" s="5">
        <f t="shared" si="19"/>
        <v>2857.2952688310943</v>
      </c>
      <c r="AR47" s="5">
        <f t="shared" si="20"/>
        <v>255.2</v>
      </c>
      <c r="AS47" s="5">
        <f t="shared" si="21"/>
        <v>254.14909800000001</v>
      </c>
    </row>
    <row r="48" spans="1:45" x14ac:dyDescent="0.25">
      <c r="A48" s="1">
        <v>45322.666666666664</v>
      </c>
      <c r="B48">
        <v>20240216</v>
      </c>
      <c r="C48">
        <v>4663.5</v>
      </c>
      <c r="D48">
        <v>4648.2287960000003</v>
      </c>
      <c r="E48" t="s">
        <v>40</v>
      </c>
      <c r="F48">
        <v>4400</v>
      </c>
      <c r="G48">
        <v>10</v>
      </c>
      <c r="H48" t="s">
        <v>41</v>
      </c>
      <c r="I48" s="3">
        <v>5.3</v>
      </c>
      <c r="J48" s="3">
        <v>5.5</v>
      </c>
      <c r="K48" s="5">
        <v>18.90794558</v>
      </c>
      <c r="L48" s="5">
        <v>0.64329366399999999</v>
      </c>
      <c r="M48" s="5">
        <v>5.4261362159999997</v>
      </c>
      <c r="N48" s="5">
        <v>-6.8937608999999997E-2</v>
      </c>
      <c r="O48" s="5">
        <v>1.2313655590000001</v>
      </c>
      <c r="P48" s="5">
        <v>4.8493199999999998E-4</v>
      </c>
      <c r="Q48" s="5">
        <v>-0.74810522800000001</v>
      </c>
      <c r="R48">
        <v>0</v>
      </c>
      <c r="S48" t="b">
        <v>1</v>
      </c>
      <c r="T48" s="1">
        <v>45322.666666666664</v>
      </c>
      <c r="U48" s="1">
        <v>45338.666666666664</v>
      </c>
      <c r="V48" s="3">
        <f t="shared" si="0"/>
        <v>4.3835616438356165E-2</v>
      </c>
      <c r="W48">
        <v>3.7900000000000003E-2</v>
      </c>
      <c r="X48" s="7">
        <v>0.1921857323076093</v>
      </c>
      <c r="Y48" s="3">
        <f t="shared" si="1"/>
        <v>5.8161698260565602E-2</v>
      </c>
      <c r="Z48" s="9">
        <f t="shared" si="2"/>
        <v>5.6367677851306031E-2</v>
      </c>
      <c r="AA48" s="3">
        <f t="shared" si="3"/>
        <v>4.3835616438356165E-2</v>
      </c>
      <c r="AB48" s="3">
        <f t="shared" si="4"/>
        <v>4.0237843948128647E-2</v>
      </c>
      <c r="AC48" s="3">
        <f t="shared" si="5"/>
        <v>1.5068553435551593</v>
      </c>
      <c r="AD48" s="3">
        <f t="shared" si="6"/>
        <v>0.9340761299713225</v>
      </c>
      <c r="AE48" s="3">
        <f t="shared" si="7"/>
        <v>6.5923870028677528E-2</v>
      </c>
      <c r="AF48" s="3">
        <f t="shared" si="8"/>
        <v>1.9432322148693972E-2</v>
      </c>
      <c r="AG48" s="3">
        <f t="shared" si="9"/>
        <v>1.4666174996070305</v>
      </c>
      <c r="AH48" s="3">
        <f t="shared" si="10"/>
        <v>0.92875993156924097</v>
      </c>
      <c r="AI48" s="3">
        <f t="shared" si="11"/>
        <v>7.1240068430759002E-2</v>
      </c>
      <c r="AJ48" s="20" t="str">
        <f t="shared" si="12"/>
        <v>Put</v>
      </c>
      <c r="AK48" s="20">
        <f t="shared" si="13"/>
        <v>5.499998718300958</v>
      </c>
      <c r="AL48" s="3">
        <f t="shared" si="14"/>
        <v>5.499998718300958</v>
      </c>
      <c r="AM48" s="3">
        <f t="shared" si="15"/>
        <v>5.5</v>
      </c>
      <c r="AN48" s="5">
        <f t="shared" si="16"/>
        <v>5.4261362159999997</v>
      </c>
      <c r="AO48" s="5">
        <f t="shared" si="17"/>
        <v>1.2816990420105867E-6</v>
      </c>
      <c r="AP48" s="5">
        <f t="shared" si="18"/>
        <v>1.5068553435551593</v>
      </c>
      <c r="AQ48" s="5">
        <f t="shared" si="19"/>
        <v>1.4666174996070305</v>
      </c>
      <c r="AR48" s="5">
        <f t="shared" si="20"/>
        <v>5.5</v>
      </c>
      <c r="AS48" s="5">
        <f t="shared" si="21"/>
        <v>5.4261362159999997</v>
      </c>
    </row>
    <row r="49" spans="1:45" x14ac:dyDescent="0.25">
      <c r="A49" s="1">
        <v>45322.666666666664</v>
      </c>
      <c r="B49">
        <v>20240216</v>
      </c>
      <c r="C49">
        <v>4663.5</v>
      </c>
      <c r="D49">
        <v>4648.2287960000003</v>
      </c>
      <c r="E49" t="s">
        <v>42</v>
      </c>
      <c r="F49">
        <v>4425</v>
      </c>
      <c r="G49">
        <v>10</v>
      </c>
      <c r="H49" t="s">
        <v>41</v>
      </c>
      <c r="I49" s="3">
        <v>229.3</v>
      </c>
      <c r="J49" s="3">
        <v>231.3</v>
      </c>
      <c r="K49" s="5">
        <v>18.20182698</v>
      </c>
      <c r="L49" s="5">
        <v>0.64329366399999999</v>
      </c>
      <c r="M49" s="5">
        <v>230.29535970000001</v>
      </c>
      <c r="N49" s="5">
        <v>0.91193892499999996</v>
      </c>
      <c r="O49" s="5">
        <v>1.421287959</v>
      </c>
      <c r="P49" s="5">
        <v>6.1180299999999996E-4</v>
      </c>
      <c r="Q49" s="5">
        <v>-0.87465125700000002</v>
      </c>
      <c r="R49">
        <v>0</v>
      </c>
      <c r="S49" t="b">
        <v>1</v>
      </c>
      <c r="T49" s="1">
        <v>45322.666666666664</v>
      </c>
      <c r="U49" s="1">
        <v>45338.666666666664</v>
      </c>
      <c r="V49" s="3">
        <f t="shared" si="0"/>
        <v>4.3835616438356165E-2</v>
      </c>
      <c r="W49">
        <v>3.7900000000000003E-2</v>
      </c>
      <c r="X49" s="7">
        <v>1E-4</v>
      </c>
      <c r="Y49" s="3">
        <f t="shared" si="1"/>
        <v>5.2495960724888234E-2</v>
      </c>
      <c r="Z49" s="9">
        <f t="shared" si="2"/>
        <v>3.7900005E-2</v>
      </c>
      <c r="AA49" s="3">
        <f t="shared" si="3"/>
        <v>4.3835616438356165E-2</v>
      </c>
      <c r="AB49" s="3">
        <f t="shared" si="4"/>
        <v>2.0936956903608547E-5</v>
      </c>
      <c r="AC49" s="3">
        <f t="shared" si="5"/>
        <v>2586.6858806852606</v>
      </c>
      <c r="AD49" s="3">
        <f t="shared" si="6"/>
        <v>1</v>
      </c>
      <c r="AE49" s="3">
        <f t="shared" si="7"/>
        <v>0</v>
      </c>
      <c r="AF49" s="3">
        <f t="shared" si="8"/>
        <v>3.7899995000000006E-2</v>
      </c>
      <c r="AG49" s="3">
        <f t="shared" si="9"/>
        <v>2586.6858597483038</v>
      </c>
      <c r="AH49" s="3">
        <f t="shared" si="10"/>
        <v>1</v>
      </c>
      <c r="AI49" s="3">
        <f t="shared" si="11"/>
        <v>0</v>
      </c>
      <c r="AJ49" s="20">
        <f t="shared" si="12"/>
        <v>245.84545819285267</v>
      </c>
      <c r="AK49" s="20" t="str">
        <f t="shared" si="13"/>
        <v>Call</v>
      </c>
      <c r="AL49" s="3">
        <f t="shared" si="14"/>
        <v>245.84545819285267</v>
      </c>
      <c r="AM49" s="3">
        <f t="shared" si="15"/>
        <v>231.3</v>
      </c>
      <c r="AN49" s="5">
        <f t="shared" si="16"/>
        <v>230.29535970000001</v>
      </c>
      <c r="AO49" s="5">
        <f t="shared" si="17"/>
        <v>-14.545458192852664</v>
      </c>
      <c r="AP49" s="5">
        <f t="shared" si="18"/>
        <v>2586.6858806852606</v>
      </c>
      <c r="AQ49" s="5">
        <f t="shared" si="19"/>
        <v>2586.6858597483038</v>
      </c>
      <c r="AR49" s="5">
        <f t="shared" si="20"/>
        <v>231.3</v>
      </c>
      <c r="AS49" s="5">
        <f t="shared" si="21"/>
        <v>230.29535970000001</v>
      </c>
    </row>
    <row r="50" spans="1:45" x14ac:dyDescent="0.25">
      <c r="A50" s="1">
        <v>45322.666666666664</v>
      </c>
      <c r="B50">
        <v>20240216</v>
      </c>
      <c r="C50">
        <v>4663.5</v>
      </c>
      <c r="D50">
        <v>4648.2287960000003</v>
      </c>
      <c r="E50" t="s">
        <v>40</v>
      </c>
      <c r="F50">
        <v>4425</v>
      </c>
      <c r="G50">
        <v>10</v>
      </c>
      <c r="H50" t="s">
        <v>41</v>
      </c>
      <c r="I50" s="3">
        <v>6.4</v>
      </c>
      <c r="J50" s="3">
        <v>6.7</v>
      </c>
      <c r="K50" s="5">
        <v>18.20182698</v>
      </c>
      <c r="L50" s="5">
        <v>0.64329366399999999</v>
      </c>
      <c r="M50" s="5">
        <v>6.5284766210000003</v>
      </c>
      <c r="N50" s="5">
        <v>-8.3234829999999996E-2</v>
      </c>
      <c r="O50" s="5">
        <v>1.421287959</v>
      </c>
      <c r="P50" s="5">
        <v>6.1180299999999996E-4</v>
      </c>
      <c r="Q50" s="5">
        <v>-0.87465125700000002</v>
      </c>
      <c r="R50">
        <v>0</v>
      </c>
      <c r="S50" t="b">
        <v>1</v>
      </c>
      <c r="T50" s="1">
        <v>45322.666666666664</v>
      </c>
      <c r="U50" s="1">
        <v>45338.666666666664</v>
      </c>
      <c r="V50" s="3">
        <f t="shared" si="0"/>
        <v>4.3835616438356165E-2</v>
      </c>
      <c r="W50">
        <v>3.7900000000000003E-2</v>
      </c>
      <c r="X50" s="7">
        <v>0.18659130271116742</v>
      </c>
      <c r="Y50" s="3">
        <f t="shared" si="1"/>
        <v>5.2495960724888234E-2</v>
      </c>
      <c r="Z50" s="9">
        <f t="shared" si="2"/>
        <v>5.5308157123725263E-2</v>
      </c>
      <c r="AA50" s="3">
        <f t="shared" si="3"/>
        <v>4.3835616438356165E-2</v>
      </c>
      <c r="AB50" s="3">
        <f t="shared" si="4"/>
        <v>3.9066540634518886E-2</v>
      </c>
      <c r="AC50" s="3">
        <f t="shared" si="5"/>
        <v>1.4058175357853144</v>
      </c>
      <c r="AD50" s="3">
        <f t="shared" si="6"/>
        <v>0.92011084324830672</v>
      </c>
      <c r="AE50" s="3">
        <f t="shared" si="7"/>
        <v>7.9889156751693308E-2</v>
      </c>
      <c r="AF50" s="3">
        <f t="shared" si="8"/>
        <v>2.0491842876274747E-2</v>
      </c>
      <c r="AG50" s="3">
        <f t="shared" si="9"/>
        <v>1.3667509951507955</v>
      </c>
      <c r="AH50" s="3">
        <f t="shared" si="10"/>
        <v>0.91414831611516745</v>
      </c>
      <c r="AI50" s="3">
        <f t="shared" si="11"/>
        <v>8.5851683884832566E-2</v>
      </c>
      <c r="AJ50" s="20" t="str">
        <f t="shared" si="12"/>
        <v>Put</v>
      </c>
      <c r="AK50" s="20">
        <f t="shared" si="13"/>
        <v>6.6999987241003396</v>
      </c>
      <c r="AL50" s="3">
        <f t="shared" si="14"/>
        <v>6.6999987241003396</v>
      </c>
      <c r="AM50" s="3">
        <f t="shared" si="15"/>
        <v>6.7</v>
      </c>
      <c r="AN50" s="5">
        <f t="shared" si="16"/>
        <v>6.5284766210000003</v>
      </c>
      <c r="AO50" s="5">
        <f t="shared" si="17"/>
        <v>1.2758996605910511E-6</v>
      </c>
      <c r="AP50" s="5">
        <f t="shared" si="18"/>
        <v>1.4058175357853144</v>
      </c>
      <c r="AQ50" s="5">
        <f t="shared" si="19"/>
        <v>1.3667509951507955</v>
      </c>
      <c r="AR50" s="5">
        <f t="shared" si="20"/>
        <v>6.7</v>
      </c>
      <c r="AS50" s="5">
        <f t="shared" si="21"/>
        <v>6.5284766210000003</v>
      </c>
    </row>
    <row r="51" spans="1:45" x14ac:dyDescent="0.25">
      <c r="A51" s="1">
        <v>45322.666666666664</v>
      </c>
      <c r="B51">
        <v>20240216</v>
      </c>
      <c r="C51">
        <v>4663.5</v>
      </c>
      <c r="D51">
        <v>4648.2287960000003</v>
      </c>
      <c r="E51" t="s">
        <v>42</v>
      </c>
      <c r="F51">
        <v>4450</v>
      </c>
      <c r="G51">
        <v>10</v>
      </c>
      <c r="H51" t="s">
        <v>41</v>
      </c>
      <c r="I51" s="3">
        <v>205.9</v>
      </c>
      <c r="J51" s="3">
        <v>207.8</v>
      </c>
      <c r="K51" s="5">
        <v>17.51763652</v>
      </c>
      <c r="L51" s="5">
        <v>0.64329366399999999</v>
      </c>
      <c r="M51" s="5">
        <v>206.74750929999999</v>
      </c>
      <c r="N51" s="5">
        <v>0.89399724300000005</v>
      </c>
      <c r="O51" s="5">
        <v>1.642175867</v>
      </c>
      <c r="P51" s="5">
        <v>7.7161899999999997E-4</v>
      </c>
      <c r="Q51" s="5">
        <v>-1.0217564139999999</v>
      </c>
      <c r="R51">
        <v>0</v>
      </c>
      <c r="S51" t="b">
        <v>1</v>
      </c>
      <c r="T51" s="1">
        <v>45322.666666666664</v>
      </c>
      <c r="U51" s="1">
        <v>45338.666666666664</v>
      </c>
      <c r="V51" s="3">
        <f t="shared" si="0"/>
        <v>4.3835616438356165E-2</v>
      </c>
      <c r="W51">
        <v>3.7900000000000003E-2</v>
      </c>
      <c r="X51" s="7">
        <v>1E-4</v>
      </c>
      <c r="Y51" s="3">
        <f t="shared" si="1"/>
        <v>4.6862143006632197E-2</v>
      </c>
      <c r="Z51" s="9">
        <f t="shared" si="2"/>
        <v>3.7900005E-2</v>
      </c>
      <c r="AA51" s="3">
        <f t="shared" si="3"/>
        <v>4.3835616438356165E-2</v>
      </c>
      <c r="AB51" s="3">
        <f t="shared" si="4"/>
        <v>2.0936956903608547E-5</v>
      </c>
      <c r="AC51" s="3">
        <f t="shared" si="5"/>
        <v>2317.6010397413966</v>
      </c>
      <c r="AD51" s="3">
        <f t="shared" si="6"/>
        <v>1</v>
      </c>
      <c r="AE51" s="3">
        <f t="shared" si="7"/>
        <v>0</v>
      </c>
      <c r="AF51" s="3">
        <f t="shared" si="8"/>
        <v>3.7899995000000006E-2</v>
      </c>
      <c r="AG51" s="3">
        <f t="shared" si="9"/>
        <v>2317.6010188044397</v>
      </c>
      <c r="AH51" s="3">
        <f t="shared" si="10"/>
        <v>1</v>
      </c>
      <c r="AI51" s="3">
        <f t="shared" si="11"/>
        <v>0</v>
      </c>
      <c r="AJ51" s="20">
        <f t="shared" si="12"/>
        <v>220.88695795665444</v>
      </c>
      <c r="AK51" s="20" t="str">
        <f t="shared" si="13"/>
        <v>Call</v>
      </c>
      <c r="AL51" s="3">
        <f t="shared" si="14"/>
        <v>220.88695795665444</v>
      </c>
      <c r="AM51" s="3">
        <f t="shared" si="15"/>
        <v>207.8</v>
      </c>
      <c r="AN51" s="5">
        <f t="shared" si="16"/>
        <v>206.74750929999999</v>
      </c>
      <c r="AO51" s="5">
        <f t="shared" si="17"/>
        <v>-13.08695795665443</v>
      </c>
      <c r="AP51" s="5">
        <f t="shared" si="18"/>
        <v>2317.6010397413966</v>
      </c>
      <c r="AQ51" s="5">
        <f t="shared" si="19"/>
        <v>2317.6010188044397</v>
      </c>
      <c r="AR51" s="5">
        <f t="shared" si="20"/>
        <v>207.8</v>
      </c>
      <c r="AS51" s="5">
        <f t="shared" si="21"/>
        <v>206.74750929999999</v>
      </c>
    </row>
    <row r="52" spans="1:45" x14ac:dyDescent="0.25">
      <c r="A52" s="1">
        <v>45322.666666666664</v>
      </c>
      <c r="B52">
        <v>20240216</v>
      </c>
      <c r="C52">
        <v>4663.5</v>
      </c>
      <c r="D52">
        <v>4648.2287960000003</v>
      </c>
      <c r="E52" t="s">
        <v>40</v>
      </c>
      <c r="F52">
        <v>4450</v>
      </c>
      <c r="G52">
        <v>10</v>
      </c>
      <c r="H52" t="s">
        <v>41</v>
      </c>
      <c r="I52" s="3">
        <v>7.8</v>
      </c>
      <c r="J52" s="3">
        <v>8.1</v>
      </c>
      <c r="K52" s="5">
        <v>17.51763652</v>
      </c>
      <c r="L52" s="5">
        <v>0.64329366399999999</v>
      </c>
      <c r="M52" s="5">
        <v>7.9367048880000004</v>
      </c>
      <c r="N52" s="5">
        <v>-0.101176511</v>
      </c>
      <c r="O52" s="5">
        <v>1.642175867</v>
      </c>
      <c r="P52" s="5">
        <v>7.7161899999999997E-4</v>
      </c>
      <c r="Q52" s="5">
        <v>-1.0217564139999999</v>
      </c>
      <c r="R52">
        <v>0</v>
      </c>
      <c r="S52" t="b">
        <v>1</v>
      </c>
      <c r="T52" s="1">
        <v>45322.666666666664</v>
      </c>
      <c r="U52" s="1">
        <v>45338.666666666664</v>
      </c>
      <c r="V52" s="3">
        <f t="shared" si="0"/>
        <v>4.3835616438356165E-2</v>
      </c>
      <c r="W52">
        <v>3.7900000000000003E-2</v>
      </c>
      <c r="X52" s="7">
        <v>0.18049464586535813</v>
      </c>
      <c r="Y52" s="3">
        <f t="shared" si="1"/>
        <v>4.6862143006632197E-2</v>
      </c>
      <c r="Z52" s="9">
        <f t="shared" si="2"/>
        <v>5.4189158593030529E-2</v>
      </c>
      <c r="AA52" s="3">
        <f t="shared" si="3"/>
        <v>4.3835616438356165E-2</v>
      </c>
      <c r="AB52" s="3">
        <f t="shared" si="4"/>
        <v>3.7790086218150901E-2</v>
      </c>
      <c r="AC52" s="3">
        <f t="shared" si="5"/>
        <v>1.3029226208588092</v>
      </c>
      <c r="AD52" s="3">
        <f t="shared" si="6"/>
        <v>0.90369940987108854</v>
      </c>
      <c r="AE52" s="3">
        <f t="shared" si="7"/>
        <v>9.6300590128911442E-2</v>
      </c>
      <c r="AF52" s="3">
        <f t="shared" si="8"/>
        <v>2.1610841406969481E-2</v>
      </c>
      <c r="AG52" s="3">
        <f t="shared" si="9"/>
        <v>1.2651325346406583</v>
      </c>
      <c r="AH52" s="3">
        <f t="shared" si="10"/>
        <v>0.89708808907368265</v>
      </c>
      <c r="AI52" s="3">
        <f t="shared" si="11"/>
        <v>0.10291191092631738</v>
      </c>
      <c r="AJ52" s="20" t="str">
        <f t="shared" si="12"/>
        <v>Put</v>
      </c>
      <c r="AK52" s="20">
        <f t="shared" si="13"/>
        <v>8.0999955966821062</v>
      </c>
      <c r="AL52" s="3">
        <f t="shared" si="14"/>
        <v>8.0999955966821062</v>
      </c>
      <c r="AM52" s="3">
        <f t="shared" si="15"/>
        <v>8.1</v>
      </c>
      <c r="AN52" s="5">
        <f t="shared" si="16"/>
        <v>7.9367048880000004</v>
      </c>
      <c r="AO52" s="5">
        <f t="shared" si="17"/>
        <v>4.4033178934199668E-6</v>
      </c>
      <c r="AP52" s="5">
        <f t="shared" si="18"/>
        <v>1.3029226208588092</v>
      </c>
      <c r="AQ52" s="5">
        <f t="shared" si="19"/>
        <v>1.2651325346406583</v>
      </c>
      <c r="AR52" s="5">
        <f t="shared" si="20"/>
        <v>8.1</v>
      </c>
      <c r="AS52" s="5">
        <f t="shared" si="21"/>
        <v>7.9367048880000004</v>
      </c>
    </row>
    <row r="53" spans="1:45" x14ac:dyDescent="0.25">
      <c r="A53" s="1">
        <v>45322.666666666664</v>
      </c>
      <c r="B53">
        <v>20240216</v>
      </c>
      <c r="C53">
        <v>4663.5</v>
      </c>
      <c r="D53">
        <v>4648.2287960000003</v>
      </c>
      <c r="E53" t="s">
        <v>42</v>
      </c>
      <c r="F53">
        <v>4475</v>
      </c>
      <c r="G53">
        <v>10</v>
      </c>
      <c r="H53" t="s">
        <v>41</v>
      </c>
      <c r="I53" s="3">
        <v>182.7</v>
      </c>
      <c r="J53" s="3">
        <v>184.7</v>
      </c>
      <c r="K53" s="5">
        <v>16.8550282</v>
      </c>
      <c r="L53" s="5">
        <v>0.64329366399999999</v>
      </c>
      <c r="M53" s="5">
        <v>183.5968507</v>
      </c>
      <c r="N53" s="5">
        <v>0.87150695499999997</v>
      </c>
      <c r="O53" s="5">
        <v>1.89531965</v>
      </c>
      <c r="P53" s="5">
        <v>9.7082899999999998E-4</v>
      </c>
      <c r="Q53" s="5">
        <v>-1.190131649</v>
      </c>
      <c r="R53">
        <v>0</v>
      </c>
      <c r="S53" t="b">
        <v>1</v>
      </c>
      <c r="T53" s="1">
        <v>45322.666666666664</v>
      </c>
      <c r="U53" s="1">
        <v>45338.666666666664</v>
      </c>
      <c r="V53" s="3">
        <f t="shared" si="0"/>
        <v>4.3835616438356165E-2</v>
      </c>
      <c r="W53">
        <v>3.7900000000000003E-2</v>
      </c>
      <c r="X53" s="7">
        <v>1E-4</v>
      </c>
      <c r="Y53" s="3">
        <f t="shared" si="1"/>
        <v>4.1259887457962517E-2</v>
      </c>
      <c r="Z53" s="9">
        <f t="shared" si="2"/>
        <v>3.7900005E-2</v>
      </c>
      <c r="AA53" s="3">
        <f t="shared" si="3"/>
        <v>4.3835616438356165E-2</v>
      </c>
      <c r="AB53" s="3">
        <f t="shared" si="4"/>
        <v>2.0936956903608547E-5</v>
      </c>
      <c r="AC53" s="3">
        <f t="shared" si="5"/>
        <v>2050.023684805727</v>
      </c>
      <c r="AD53" s="3">
        <f t="shared" si="6"/>
        <v>1</v>
      </c>
      <c r="AE53" s="3">
        <f t="shared" si="7"/>
        <v>0</v>
      </c>
      <c r="AF53" s="3">
        <f t="shared" si="8"/>
        <v>3.7899995000000006E-2</v>
      </c>
      <c r="AG53" s="3">
        <f t="shared" si="9"/>
        <v>2050.0236638687702</v>
      </c>
      <c r="AH53" s="3">
        <f t="shared" si="10"/>
        <v>1</v>
      </c>
      <c r="AI53" s="3">
        <f t="shared" si="11"/>
        <v>0</v>
      </c>
      <c r="AJ53" s="20">
        <f t="shared" si="12"/>
        <v>195.9284577204553</v>
      </c>
      <c r="AK53" s="20" t="str">
        <f t="shared" si="13"/>
        <v>Call</v>
      </c>
      <c r="AL53" s="3">
        <f t="shared" si="14"/>
        <v>195.9284577204553</v>
      </c>
      <c r="AM53" s="3">
        <f t="shared" si="15"/>
        <v>184.7</v>
      </c>
      <c r="AN53" s="5">
        <f t="shared" si="16"/>
        <v>183.5968507</v>
      </c>
      <c r="AO53" s="5">
        <f t="shared" si="17"/>
        <v>-11.22845772045531</v>
      </c>
      <c r="AP53" s="5">
        <f t="shared" si="18"/>
        <v>2050.023684805727</v>
      </c>
      <c r="AQ53" s="5">
        <f t="shared" si="19"/>
        <v>2050.0236638687702</v>
      </c>
      <c r="AR53" s="5">
        <f t="shared" si="20"/>
        <v>184.7</v>
      </c>
      <c r="AS53" s="5">
        <f t="shared" si="21"/>
        <v>183.5968507</v>
      </c>
    </row>
    <row r="54" spans="1:45" x14ac:dyDescent="0.25">
      <c r="A54" s="1">
        <v>45322.666666666664</v>
      </c>
      <c r="B54">
        <v>20240216</v>
      </c>
      <c r="C54">
        <v>4663.5</v>
      </c>
      <c r="D54">
        <v>4648.2287960000003</v>
      </c>
      <c r="E54" t="s">
        <v>40</v>
      </c>
      <c r="F54">
        <v>4475</v>
      </c>
      <c r="G54">
        <v>10</v>
      </c>
      <c r="H54" t="s">
        <v>41</v>
      </c>
      <c r="I54" s="3">
        <v>9.6</v>
      </c>
      <c r="J54" s="3">
        <v>9.9</v>
      </c>
      <c r="K54" s="5">
        <v>16.8550282</v>
      </c>
      <c r="L54" s="5">
        <v>0.64329366399999999</v>
      </c>
      <c r="M54" s="5">
        <v>9.742124939</v>
      </c>
      <c r="N54" s="5">
        <v>-0.12366679999999999</v>
      </c>
      <c r="O54" s="5">
        <v>1.89531965</v>
      </c>
      <c r="P54" s="5">
        <v>9.7082899999999998E-4</v>
      </c>
      <c r="Q54" s="5">
        <v>-1.190131649</v>
      </c>
      <c r="R54">
        <v>0</v>
      </c>
      <c r="S54" t="b">
        <v>1</v>
      </c>
      <c r="T54" s="1">
        <v>45322.666666666664</v>
      </c>
      <c r="U54" s="1">
        <v>45338.666666666664</v>
      </c>
      <c r="V54" s="3">
        <f t="shared" si="0"/>
        <v>4.3835616438356165E-2</v>
      </c>
      <c r="W54">
        <v>3.7900000000000003E-2</v>
      </c>
      <c r="X54" s="7">
        <v>0.17476790347552115</v>
      </c>
      <c r="Y54" s="3">
        <f t="shared" si="1"/>
        <v>4.1259887457962517E-2</v>
      </c>
      <c r="Z54" s="9">
        <f t="shared" si="2"/>
        <v>5.317191004261454E-2</v>
      </c>
      <c r="AA54" s="3">
        <f t="shared" si="3"/>
        <v>4.3835616438356165E-2</v>
      </c>
      <c r="AB54" s="3">
        <f t="shared" si="4"/>
        <v>3.6591080632010047E-2</v>
      </c>
      <c r="AC54" s="3">
        <f t="shared" si="5"/>
        <v>1.1912933468751397</v>
      </c>
      <c r="AD54" s="3">
        <f t="shared" si="6"/>
        <v>0.88323077758582469</v>
      </c>
      <c r="AE54" s="3">
        <f t="shared" si="7"/>
        <v>0.11676922241417535</v>
      </c>
      <c r="AF54" s="3">
        <f t="shared" si="8"/>
        <v>2.2628089957385463E-2</v>
      </c>
      <c r="AG54" s="3">
        <f t="shared" si="9"/>
        <v>1.1547022662431297</v>
      </c>
      <c r="AH54" s="3">
        <f t="shared" si="10"/>
        <v>0.87589381441232417</v>
      </c>
      <c r="AI54" s="3">
        <f t="shared" si="11"/>
        <v>0.12410618558767586</v>
      </c>
      <c r="AJ54" s="20" t="str">
        <f t="shared" si="12"/>
        <v>Put</v>
      </c>
      <c r="AK54" s="20">
        <f t="shared" si="13"/>
        <v>9.899994223857675</v>
      </c>
      <c r="AL54" s="3">
        <f t="shared" si="14"/>
        <v>9.899994223857675</v>
      </c>
      <c r="AM54" s="3">
        <f t="shared" si="15"/>
        <v>9.9</v>
      </c>
      <c r="AN54" s="5">
        <f t="shared" si="16"/>
        <v>9.742124939</v>
      </c>
      <c r="AO54" s="5">
        <f t="shared" si="17"/>
        <v>5.7761423253310795E-6</v>
      </c>
      <c r="AP54" s="5">
        <f t="shared" si="18"/>
        <v>1.1912933468751397</v>
      </c>
      <c r="AQ54" s="5">
        <f t="shared" si="19"/>
        <v>1.1547022662431297</v>
      </c>
      <c r="AR54" s="5">
        <f t="shared" si="20"/>
        <v>9.9</v>
      </c>
      <c r="AS54" s="5">
        <f t="shared" si="21"/>
        <v>9.742124939</v>
      </c>
    </row>
    <row r="55" spans="1:45" x14ac:dyDescent="0.25">
      <c r="A55" s="1">
        <v>45322.666666666664</v>
      </c>
      <c r="B55">
        <v>20240216</v>
      </c>
      <c r="C55">
        <v>4663.5</v>
      </c>
      <c r="D55">
        <v>4648.2287960000003</v>
      </c>
      <c r="E55" t="s">
        <v>42</v>
      </c>
      <c r="F55">
        <v>4500</v>
      </c>
      <c r="G55">
        <v>10</v>
      </c>
      <c r="H55" t="s">
        <v>41</v>
      </c>
      <c r="I55" s="3">
        <v>160.19999999999999</v>
      </c>
      <c r="J55" s="3">
        <v>162</v>
      </c>
      <c r="K55" s="5">
        <v>16.213662970000001</v>
      </c>
      <c r="L55" s="5">
        <v>0.64329366399999999</v>
      </c>
      <c r="M55" s="5">
        <v>160.96079080000001</v>
      </c>
      <c r="N55" s="5">
        <v>0.84341110200000002</v>
      </c>
      <c r="O55" s="5">
        <v>2.1793897900000001</v>
      </c>
      <c r="P55" s="5">
        <v>1.2153310000000001E-3</v>
      </c>
      <c r="Q55" s="5">
        <v>-1.3786376979999999</v>
      </c>
      <c r="R55">
        <v>0</v>
      </c>
      <c r="S55" t="b">
        <v>1</v>
      </c>
      <c r="T55" s="1">
        <v>45322.666666666664</v>
      </c>
      <c r="U55" s="1">
        <v>45338.666666666664</v>
      </c>
      <c r="V55" s="3">
        <f t="shared" si="0"/>
        <v>4.3835616438356165E-2</v>
      </c>
      <c r="W55">
        <v>3.7900000000000003E-2</v>
      </c>
      <c r="X55" s="7">
        <v>1E-4</v>
      </c>
      <c r="Y55" s="3">
        <f t="shared" si="1"/>
        <v>3.5688842408507067E-2</v>
      </c>
      <c r="Z55" s="9">
        <f t="shared" si="2"/>
        <v>3.7900005E-2</v>
      </c>
      <c r="AA55" s="3">
        <f t="shared" si="3"/>
        <v>4.3835616438356165E-2</v>
      </c>
      <c r="AB55" s="3">
        <f t="shared" si="4"/>
        <v>2.0936956903608547E-5</v>
      </c>
      <c r="AC55" s="3">
        <f t="shared" si="5"/>
        <v>1783.9370192456875</v>
      </c>
      <c r="AD55" s="3">
        <f t="shared" si="6"/>
        <v>1</v>
      </c>
      <c r="AE55" s="3">
        <f t="shared" si="7"/>
        <v>0</v>
      </c>
      <c r="AF55" s="3">
        <f t="shared" si="8"/>
        <v>3.7899995000000006E-2</v>
      </c>
      <c r="AG55" s="3">
        <f t="shared" si="9"/>
        <v>1783.9369983087306</v>
      </c>
      <c r="AH55" s="3">
        <f t="shared" si="10"/>
        <v>1</v>
      </c>
      <c r="AI55" s="3">
        <f t="shared" si="11"/>
        <v>0</v>
      </c>
      <c r="AJ55" s="20">
        <f t="shared" si="12"/>
        <v>170.96995748425707</v>
      </c>
      <c r="AK55" s="20" t="str">
        <f t="shared" si="13"/>
        <v>Call</v>
      </c>
      <c r="AL55" s="3">
        <f t="shared" si="14"/>
        <v>170.96995748425707</v>
      </c>
      <c r="AM55" s="3">
        <f t="shared" si="15"/>
        <v>162</v>
      </c>
      <c r="AN55" s="5">
        <f t="shared" si="16"/>
        <v>160.96079080000001</v>
      </c>
      <c r="AO55" s="5">
        <f t="shared" si="17"/>
        <v>-8.9699574842570655</v>
      </c>
      <c r="AP55" s="5">
        <f t="shared" si="18"/>
        <v>1783.9370192456875</v>
      </c>
      <c r="AQ55" s="5">
        <f t="shared" si="19"/>
        <v>1783.9369983087306</v>
      </c>
      <c r="AR55" s="5">
        <f t="shared" si="20"/>
        <v>162</v>
      </c>
      <c r="AS55" s="5">
        <f t="shared" si="21"/>
        <v>160.96079080000001</v>
      </c>
    </row>
    <row r="56" spans="1:45" x14ac:dyDescent="0.25">
      <c r="A56" s="1">
        <v>45322.666666666664</v>
      </c>
      <c r="B56">
        <v>20240216</v>
      </c>
      <c r="C56">
        <v>4663.5</v>
      </c>
      <c r="D56">
        <v>4648.2287960000003</v>
      </c>
      <c r="E56" t="s">
        <v>40</v>
      </c>
      <c r="F56">
        <v>4500</v>
      </c>
      <c r="G56">
        <v>10</v>
      </c>
      <c r="H56" t="s">
        <v>41</v>
      </c>
      <c r="I56" s="3">
        <v>11.9</v>
      </c>
      <c r="J56" s="3">
        <v>12.3</v>
      </c>
      <c r="K56" s="5">
        <v>16.213662970000001</v>
      </c>
      <c r="L56" s="5">
        <v>0.64329366399999999</v>
      </c>
      <c r="M56" s="5">
        <v>12.06214363</v>
      </c>
      <c r="N56" s="5">
        <v>-0.151762653</v>
      </c>
      <c r="O56" s="5">
        <v>2.1793897900000001</v>
      </c>
      <c r="P56" s="5">
        <v>1.2153310000000001E-3</v>
      </c>
      <c r="Q56" s="5">
        <v>-1.3786376979999999</v>
      </c>
      <c r="R56">
        <v>0</v>
      </c>
      <c r="S56" t="b">
        <v>1</v>
      </c>
      <c r="T56" s="1">
        <v>45322.666666666664</v>
      </c>
      <c r="U56" s="1">
        <v>45338.666666666664</v>
      </c>
      <c r="V56" s="3">
        <f t="shared" si="0"/>
        <v>4.3835616438356165E-2</v>
      </c>
      <c r="W56">
        <v>3.7900000000000003E-2</v>
      </c>
      <c r="X56" s="7">
        <v>0.16980378151142275</v>
      </c>
      <c r="Y56" s="3">
        <f t="shared" si="1"/>
        <v>3.5688842408507067E-2</v>
      </c>
      <c r="Z56" s="9">
        <f t="shared" si="2"/>
        <v>5.2316662107789499E-2</v>
      </c>
      <c r="AA56" s="3">
        <f t="shared" si="3"/>
        <v>4.3835616438356165E-2</v>
      </c>
      <c r="AB56" s="3">
        <f t="shared" si="4"/>
        <v>3.5551744555744197E-2</v>
      </c>
      <c r="AC56" s="3">
        <f t="shared" si="5"/>
        <v>1.0683631989548126</v>
      </c>
      <c r="AD56" s="3">
        <f t="shared" si="6"/>
        <v>0.85732164469835992</v>
      </c>
      <c r="AE56" s="3">
        <f t="shared" si="7"/>
        <v>0.14267835530164005</v>
      </c>
      <c r="AF56" s="3">
        <f t="shared" si="8"/>
        <v>2.3483337892210507E-2</v>
      </c>
      <c r="AG56" s="3">
        <f t="shared" si="9"/>
        <v>1.0328114543990683</v>
      </c>
      <c r="AH56" s="3">
        <f t="shared" si="10"/>
        <v>0.84915392886004626</v>
      </c>
      <c r="AI56" s="3">
        <f t="shared" si="11"/>
        <v>0.15084607113995369</v>
      </c>
      <c r="AJ56" s="20" t="str">
        <f t="shared" si="12"/>
        <v>Put</v>
      </c>
      <c r="AK56" s="20">
        <f t="shared" si="13"/>
        <v>12.299996442510519</v>
      </c>
      <c r="AL56" s="3">
        <f t="shared" si="14"/>
        <v>12.299996442510519</v>
      </c>
      <c r="AM56" s="3">
        <f t="shared" si="15"/>
        <v>12.3</v>
      </c>
      <c r="AN56" s="5">
        <f t="shared" si="16"/>
        <v>12.06214363</v>
      </c>
      <c r="AO56" s="5">
        <f t="shared" si="17"/>
        <v>3.5574894816647884E-6</v>
      </c>
      <c r="AP56" s="5">
        <f t="shared" si="18"/>
        <v>1.0683631989548126</v>
      </c>
      <c r="AQ56" s="5">
        <f t="shared" si="19"/>
        <v>1.0328114543990683</v>
      </c>
      <c r="AR56" s="5">
        <f t="shared" si="20"/>
        <v>12.3</v>
      </c>
      <c r="AS56" s="5">
        <f t="shared" si="21"/>
        <v>12.06214363</v>
      </c>
    </row>
    <row r="57" spans="1:45" x14ac:dyDescent="0.25">
      <c r="A57" s="1">
        <v>45322.666666666664</v>
      </c>
      <c r="B57">
        <v>20240216</v>
      </c>
      <c r="C57">
        <v>4663.5</v>
      </c>
      <c r="D57">
        <v>4648.2287960000003</v>
      </c>
      <c r="E57" t="s">
        <v>42</v>
      </c>
      <c r="F57">
        <v>4525</v>
      </c>
      <c r="G57">
        <v>10</v>
      </c>
      <c r="H57" t="s">
        <v>41</v>
      </c>
      <c r="I57" s="3">
        <v>138.19999999999999</v>
      </c>
      <c r="J57" s="3">
        <v>140</v>
      </c>
      <c r="K57" s="5">
        <v>15.593208450000001</v>
      </c>
      <c r="L57" s="5">
        <v>0.64329366399999999</v>
      </c>
      <c r="M57" s="5">
        <v>138.98813490000001</v>
      </c>
      <c r="N57" s="5">
        <v>0.80853257300000003</v>
      </c>
      <c r="O57" s="5">
        <v>2.4887760120000002</v>
      </c>
      <c r="P57" s="5">
        <v>1.5120820000000001E-3</v>
      </c>
      <c r="Q57" s="5">
        <v>-1.5864986670000001</v>
      </c>
      <c r="R57">
        <v>0</v>
      </c>
      <c r="S57" t="b">
        <v>1</v>
      </c>
      <c r="T57" s="1">
        <v>45322.666666666664</v>
      </c>
      <c r="U57" s="1">
        <v>45338.666666666664</v>
      </c>
      <c r="V57" s="3">
        <f t="shared" si="0"/>
        <v>4.3835616438356165E-2</v>
      </c>
      <c r="W57">
        <v>3.7900000000000003E-2</v>
      </c>
      <c r="X57" s="7">
        <v>1E-4</v>
      </c>
      <c r="Y57" s="3">
        <f t="shared" si="1"/>
        <v>3.0148662032891679E-2</v>
      </c>
      <c r="Z57" s="9">
        <f t="shared" si="2"/>
        <v>3.7900005E-2</v>
      </c>
      <c r="AA57" s="3">
        <f t="shared" si="3"/>
        <v>4.3835616438356165E-2</v>
      </c>
      <c r="AB57" s="3">
        <f t="shared" si="4"/>
        <v>2.0936956903608547E-5</v>
      </c>
      <c r="AC57" s="3">
        <f t="shared" si="5"/>
        <v>1519.3245256000362</v>
      </c>
      <c r="AD57" s="3">
        <f t="shared" si="6"/>
        <v>1</v>
      </c>
      <c r="AE57" s="3">
        <f t="shared" si="7"/>
        <v>0</v>
      </c>
      <c r="AF57" s="3">
        <f t="shared" si="8"/>
        <v>3.7899995000000006E-2</v>
      </c>
      <c r="AG57" s="3">
        <f t="shared" si="9"/>
        <v>1519.3245046630793</v>
      </c>
      <c r="AH57" s="3">
        <f t="shared" si="10"/>
        <v>1</v>
      </c>
      <c r="AI57" s="3">
        <f t="shared" si="11"/>
        <v>0</v>
      </c>
      <c r="AJ57" s="20">
        <f t="shared" si="12"/>
        <v>146.01145724805883</v>
      </c>
      <c r="AK57" s="20" t="str">
        <f t="shared" si="13"/>
        <v>Call</v>
      </c>
      <c r="AL57" s="3">
        <f t="shared" si="14"/>
        <v>146.01145724805883</v>
      </c>
      <c r="AM57" s="3">
        <f t="shared" si="15"/>
        <v>140</v>
      </c>
      <c r="AN57" s="5">
        <f t="shared" si="16"/>
        <v>138.98813490000001</v>
      </c>
      <c r="AO57" s="5">
        <f t="shared" si="17"/>
        <v>-6.0114572480588322</v>
      </c>
      <c r="AP57" s="5">
        <f t="shared" si="18"/>
        <v>1519.3245256000362</v>
      </c>
      <c r="AQ57" s="5">
        <f t="shared" si="19"/>
        <v>1519.3245046630793</v>
      </c>
      <c r="AR57" s="5">
        <f t="shared" si="20"/>
        <v>140</v>
      </c>
      <c r="AS57" s="5">
        <f t="shared" si="21"/>
        <v>138.98813490000001</v>
      </c>
    </row>
    <row r="58" spans="1:45" x14ac:dyDescent="0.25">
      <c r="A58" s="1">
        <v>45322.666666666664</v>
      </c>
      <c r="B58">
        <v>20240216</v>
      </c>
      <c r="C58">
        <v>4663.5</v>
      </c>
      <c r="D58">
        <v>4648.2287960000003</v>
      </c>
      <c r="E58" t="s">
        <v>40</v>
      </c>
      <c r="F58">
        <v>4525</v>
      </c>
      <c r="G58">
        <v>10</v>
      </c>
      <c r="H58" t="s">
        <v>41</v>
      </c>
      <c r="I58" s="3">
        <v>14.9</v>
      </c>
      <c r="J58" s="3">
        <v>15.3</v>
      </c>
      <c r="K58" s="5">
        <v>15.593208450000001</v>
      </c>
      <c r="L58" s="5">
        <v>0.64329366399999999</v>
      </c>
      <c r="M58" s="5">
        <v>15.0455664</v>
      </c>
      <c r="N58" s="5">
        <v>-0.18664118199999999</v>
      </c>
      <c r="O58" s="5">
        <v>2.4887760120000002</v>
      </c>
      <c r="P58" s="5">
        <v>1.5120820000000001E-3</v>
      </c>
      <c r="Q58" s="5">
        <v>-1.5864986670000001</v>
      </c>
      <c r="R58">
        <v>0</v>
      </c>
      <c r="S58" t="b">
        <v>1</v>
      </c>
      <c r="T58" s="1">
        <v>45322.666666666664</v>
      </c>
      <c r="U58" s="1">
        <v>45338.666666666664</v>
      </c>
      <c r="V58" s="3">
        <f t="shared" si="0"/>
        <v>4.3835616438356165E-2</v>
      </c>
      <c r="W58">
        <v>3.7900000000000003E-2</v>
      </c>
      <c r="X58" s="7">
        <v>0.16489953218370507</v>
      </c>
      <c r="Y58" s="3">
        <f t="shared" si="1"/>
        <v>3.0148662032891679E-2</v>
      </c>
      <c r="Z58" s="9">
        <f t="shared" si="2"/>
        <v>5.1495927857202396E-2</v>
      </c>
      <c r="AA58" s="3">
        <f t="shared" si="3"/>
        <v>4.3835616438356165E-2</v>
      </c>
      <c r="AB58" s="3">
        <f t="shared" si="4"/>
        <v>3.4524943987554436E-2</v>
      </c>
      <c r="AC58" s="3">
        <f t="shared" si="5"/>
        <v>0.93862622300731313</v>
      </c>
      <c r="AD58" s="3">
        <f t="shared" si="6"/>
        <v>0.82603865781722874</v>
      </c>
      <c r="AE58" s="3">
        <f t="shared" si="7"/>
        <v>0.17396134218277132</v>
      </c>
      <c r="AF58" s="3">
        <f t="shared" si="8"/>
        <v>2.430407214279761E-2</v>
      </c>
      <c r="AG58" s="3">
        <f t="shared" si="9"/>
        <v>0.90410127901975856</v>
      </c>
      <c r="AH58" s="3">
        <f t="shared" si="10"/>
        <v>0.81702914987314268</v>
      </c>
      <c r="AI58" s="3">
        <f t="shared" si="11"/>
        <v>0.18297085012685735</v>
      </c>
      <c r="AJ58" s="20" t="str">
        <f t="shared" si="12"/>
        <v>Put</v>
      </c>
      <c r="AK58" s="20">
        <f t="shared" si="13"/>
        <v>15.299999836306597</v>
      </c>
      <c r="AL58" s="3">
        <f t="shared" si="14"/>
        <v>15.299999836306597</v>
      </c>
      <c r="AM58" s="3">
        <f t="shared" si="15"/>
        <v>15.3</v>
      </c>
      <c r="AN58" s="5">
        <f t="shared" si="16"/>
        <v>15.0455664</v>
      </c>
      <c r="AO58" s="5">
        <f t="shared" si="17"/>
        <v>1.6369340372079932E-7</v>
      </c>
      <c r="AP58" s="5">
        <f t="shared" si="18"/>
        <v>0.93862622300731313</v>
      </c>
      <c r="AQ58" s="5">
        <f t="shared" si="19"/>
        <v>0.90410127901975856</v>
      </c>
      <c r="AR58" s="5">
        <f t="shared" si="20"/>
        <v>15.3</v>
      </c>
      <c r="AS58" s="5">
        <f t="shared" si="21"/>
        <v>15.0455664</v>
      </c>
    </row>
    <row r="59" spans="1:45" x14ac:dyDescent="0.25">
      <c r="A59" s="1">
        <v>45322.666666666664</v>
      </c>
      <c r="B59">
        <v>20240216</v>
      </c>
      <c r="C59">
        <v>4663.5</v>
      </c>
      <c r="D59">
        <v>4648.2287960000003</v>
      </c>
      <c r="E59" t="s">
        <v>42</v>
      </c>
      <c r="F59">
        <v>4550</v>
      </c>
      <c r="G59">
        <v>10</v>
      </c>
      <c r="H59" t="s">
        <v>41</v>
      </c>
      <c r="I59" s="3">
        <v>117.2</v>
      </c>
      <c r="J59" s="3">
        <v>118.9</v>
      </c>
      <c r="K59" s="5">
        <v>15.004803430000001</v>
      </c>
      <c r="L59" s="5">
        <v>0.64329366399999999</v>
      </c>
      <c r="M59" s="5">
        <v>117.8958993</v>
      </c>
      <c r="N59" s="5">
        <v>0.76549293600000001</v>
      </c>
      <c r="O59" s="5">
        <v>2.8126691930000001</v>
      </c>
      <c r="P59" s="5">
        <v>1.862091E-3</v>
      </c>
      <c r="Q59" s="5">
        <v>-1.8090682950000001</v>
      </c>
      <c r="R59">
        <v>0</v>
      </c>
      <c r="S59" t="b">
        <v>1</v>
      </c>
      <c r="T59" s="1">
        <v>45322.666666666664</v>
      </c>
      <c r="U59" s="1">
        <v>45338.666666666664</v>
      </c>
      <c r="V59" s="3">
        <f t="shared" si="0"/>
        <v>4.3835616438356165E-2</v>
      </c>
      <c r="W59">
        <v>3.7900000000000003E-2</v>
      </c>
      <c r="X59" s="7">
        <v>1E-4</v>
      </c>
      <c r="Y59" s="3">
        <f t="shared" si="1"/>
        <v>2.4639006221922093E-2</v>
      </c>
      <c r="Z59" s="9">
        <f t="shared" si="2"/>
        <v>3.7900005E-2</v>
      </c>
      <c r="AA59" s="3">
        <f t="shared" si="3"/>
        <v>4.3835616438356165E-2</v>
      </c>
      <c r="AB59" s="3">
        <f t="shared" si="4"/>
        <v>2.0936956903608547E-5</v>
      </c>
      <c r="AC59" s="3">
        <f t="shared" si="5"/>
        <v>1256.1699594261918</v>
      </c>
      <c r="AD59" s="3">
        <f t="shared" si="6"/>
        <v>1</v>
      </c>
      <c r="AE59" s="3">
        <f t="shared" si="7"/>
        <v>0</v>
      </c>
      <c r="AF59" s="3">
        <f t="shared" si="8"/>
        <v>3.7899995000000006E-2</v>
      </c>
      <c r="AG59" s="3">
        <f t="shared" si="9"/>
        <v>1256.1699384892349</v>
      </c>
      <c r="AH59" s="3">
        <f t="shared" si="10"/>
        <v>1</v>
      </c>
      <c r="AI59" s="3">
        <f t="shared" si="11"/>
        <v>0</v>
      </c>
      <c r="AJ59" s="20">
        <f t="shared" si="12"/>
        <v>121.05295701185969</v>
      </c>
      <c r="AK59" s="20" t="str">
        <f t="shared" si="13"/>
        <v>Call</v>
      </c>
      <c r="AL59" s="3">
        <f t="shared" si="14"/>
        <v>121.05295701185969</v>
      </c>
      <c r="AM59" s="3">
        <f t="shared" si="15"/>
        <v>118.9</v>
      </c>
      <c r="AN59" s="5">
        <f t="shared" si="16"/>
        <v>117.8958993</v>
      </c>
      <c r="AO59" s="5">
        <f t="shared" si="17"/>
        <v>-2.1529570118596837</v>
      </c>
      <c r="AP59" s="5">
        <f t="shared" si="18"/>
        <v>1256.1699594261918</v>
      </c>
      <c r="AQ59" s="5">
        <f t="shared" si="19"/>
        <v>1256.1699384892349</v>
      </c>
      <c r="AR59" s="5">
        <f t="shared" si="20"/>
        <v>118.9</v>
      </c>
      <c r="AS59" s="5">
        <f t="shared" si="21"/>
        <v>117.8958993</v>
      </c>
    </row>
    <row r="60" spans="1:45" x14ac:dyDescent="0.25">
      <c r="A60" s="1">
        <v>45322.666666666664</v>
      </c>
      <c r="B60">
        <v>20240216</v>
      </c>
      <c r="C60">
        <v>4663.5</v>
      </c>
      <c r="D60">
        <v>4648.2287960000003</v>
      </c>
      <c r="E60" t="s">
        <v>40</v>
      </c>
      <c r="F60">
        <v>4550</v>
      </c>
      <c r="G60">
        <v>10</v>
      </c>
      <c r="H60" t="s">
        <v>41</v>
      </c>
      <c r="I60" s="3">
        <v>18.8</v>
      </c>
      <c r="J60" s="3">
        <v>19.2</v>
      </c>
      <c r="K60" s="5">
        <v>15.004803430000001</v>
      </c>
      <c r="L60" s="5">
        <v>0.64329366399999999</v>
      </c>
      <c r="M60" s="5">
        <v>18.909409459999999</v>
      </c>
      <c r="N60" s="5">
        <v>-0.22968081800000001</v>
      </c>
      <c r="O60" s="5">
        <v>2.8126691930000001</v>
      </c>
      <c r="P60" s="5">
        <v>1.862091E-3</v>
      </c>
      <c r="Q60" s="5">
        <v>-1.8090682950000001</v>
      </c>
      <c r="R60">
        <v>0</v>
      </c>
      <c r="S60" t="b">
        <v>1</v>
      </c>
      <c r="T60" s="1">
        <v>45322.666666666664</v>
      </c>
      <c r="U60" s="1">
        <v>45338.666666666664</v>
      </c>
      <c r="V60" s="3">
        <f t="shared" si="0"/>
        <v>4.3835616438356165E-2</v>
      </c>
      <c r="W60">
        <v>3.7900000000000003E-2</v>
      </c>
      <c r="X60" s="7">
        <v>0.16062336526866361</v>
      </c>
      <c r="Y60" s="3">
        <f t="shared" si="1"/>
        <v>2.4639006221922093E-2</v>
      </c>
      <c r="Z60" s="9">
        <f t="shared" si="2"/>
        <v>5.0799932735115266E-2</v>
      </c>
      <c r="AA60" s="3">
        <f t="shared" si="3"/>
        <v>4.3835616438356165E-2</v>
      </c>
      <c r="AB60" s="3">
        <f t="shared" si="4"/>
        <v>3.3629644763425837E-2</v>
      </c>
      <c r="AC60" s="3">
        <f t="shared" si="5"/>
        <v>0.7988741117364121</v>
      </c>
      <c r="AD60" s="3">
        <f t="shared" si="6"/>
        <v>0.78781829423410188</v>
      </c>
      <c r="AE60" s="3">
        <f t="shared" si="7"/>
        <v>0.21218170576589807</v>
      </c>
      <c r="AF60" s="3">
        <f t="shared" si="8"/>
        <v>2.500006726488474E-2</v>
      </c>
      <c r="AG60" s="3">
        <f t="shared" si="9"/>
        <v>0.76524446697298631</v>
      </c>
      <c r="AH60" s="3">
        <f t="shared" si="10"/>
        <v>0.77793700728574766</v>
      </c>
      <c r="AI60" s="3">
        <f t="shared" si="11"/>
        <v>0.22206299271425234</v>
      </c>
      <c r="AJ60" s="20" t="str">
        <f t="shared" si="12"/>
        <v>Put</v>
      </c>
      <c r="AK60" s="20">
        <f t="shared" si="13"/>
        <v>19.199999772686851</v>
      </c>
      <c r="AL60" s="3">
        <f t="shared" si="14"/>
        <v>19.199999772686851</v>
      </c>
      <c r="AM60" s="3">
        <f t="shared" si="15"/>
        <v>19.2</v>
      </c>
      <c r="AN60" s="5">
        <f t="shared" si="16"/>
        <v>18.909409459999999</v>
      </c>
      <c r="AO60" s="5">
        <f t="shared" si="17"/>
        <v>2.2731314786028634E-7</v>
      </c>
      <c r="AP60" s="5">
        <f t="shared" si="18"/>
        <v>0.7988741117364121</v>
      </c>
      <c r="AQ60" s="5">
        <f t="shared" si="19"/>
        <v>0.76524446697298631</v>
      </c>
      <c r="AR60" s="5">
        <f t="shared" si="20"/>
        <v>19.2</v>
      </c>
      <c r="AS60" s="5">
        <f t="shared" si="21"/>
        <v>18.909409459999999</v>
      </c>
    </row>
    <row r="61" spans="1:45" x14ac:dyDescent="0.25">
      <c r="A61" s="1">
        <v>45322.666666666664</v>
      </c>
      <c r="B61">
        <v>20240216</v>
      </c>
      <c r="C61">
        <v>4663.5</v>
      </c>
      <c r="D61">
        <v>4648.2287960000003</v>
      </c>
      <c r="E61" t="s">
        <v>42</v>
      </c>
      <c r="F61">
        <v>4575</v>
      </c>
      <c r="G61">
        <v>10</v>
      </c>
      <c r="H61" t="s">
        <v>41</v>
      </c>
      <c r="I61" s="3">
        <v>97.2</v>
      </c>
      <c r="J61" s="3">
        <v>98.8</v>
      </c>
      <c r="K61" s="5">
        <v>14.45934214</v>
      </c>
      <c r="L61" s="5">
        <v>0.64329366399999999</v>
      </c>
      <c r="M61" s="5">
        <v>97.953073029999999</v>
      </c>
      <c r="N61" s="5">
        <v>0.71310552199999999</v>
      </c>
      <c r="O61" s="5">
        <v>3.130463073</v>
      </c>
      <c r="P61" s="5">
        <v>2.2485420000000001E-3</v>
      </c>
      <c r="Q61" s="5">
        <v>-2.028576878</v>
      </c>
      <c r="R61">
        <v>0</v>
      </c>
      <c r="S61" t="b">
        <v>1</v>
      </c>
      <c r="T61" s="1">
        <v>45322.666666666664</v>
      </c>
      <c r="U61" s="1">
        <v>45338.666666666664</v>
      </c>
      <c r="V61" s="3">
        <f t="shared" si="0"/>
        <v>4.3835616438356165E-2</v>
      </c>
      <c r="W61">
        <v>3.7900000000000003E-2</v>
      </c>
      <c r="X61" s="7">
        <v>7.2314960212474827E-2</v>
      </c>
      <c r="Y61" s="3">
        <f t="shared" si="1"/>
        <v>1.9159540457296443E-2</v>
      </c>
      <c r="Z61" s="9">
        <f t="shared" si="2"/>
        <v>4.0514726735265912E-2</v>
      </c>
      <c r="AA61" s="3">
        <f t="shared" si="3"/>
        <v>4.3835616438356165E-2</v>
      </c>
      <c r="AB61" s="3">
        <f t="shared" si="4"/>
        <v>1.5140552054547523E-2</v>
      </c>
      <c r="AC61" s="3">
        <f t="shared" si="5"/>
        <v>1.3827453849201166</v>
      </c>
      <c r="AD61" s="3">
        <f t="shared" si="6"/>
        <v>0.91662852474327949</v>
      </c>
      <c r="AE61" s="3">
        <f t="shared" si="7"/>
        <v>8.3371475256720506E-2</v>
      </c>
      <c r="AF61" s="3">
        <f t="shared" si="8"/>
        <v>3.5285273264734095E-2</v>
      </c>
      <c r="AG61" s="3">
        <f t="shared" si="9"/>
        <v>1.367604832865569</v>
      </c>
      <c r="AH61" s="3">
        <f t="shared" si="10"/>
        <v>0.91428209855740028</v>
      </c>
      <c r="AI61" s="3">
        <f t="shared" si="11"/>
        <v>8.5717901442599748E-2</v>
      </c>
      <c r="AJ61" s="20">
        <f t="shared" si="12"/>
        <v>98.800000118432763</v>
      </c>
      <c r="AK61" s="20" t="str">
        <f t="shared" si="13"/>
        <v>Call</v>
      </c>
      <c r="AL61" s="3">
        <f t="shared" si="14"/>
        <v>98.800000118432763</v>
      </c>
      <c r="AM61" s="3">
        <f t="shared" si="15"/>
        <v>98.8</v>
      </c>
      <c r="AN61" s="5">
        <f t="shared" si="16"/>
        <v>97.953073029999999</v>
      </c>
      <c r="AO61" s="5">
        <f t="shared" si="17"/>
        <v>-1.1843276581657847E-7</v>
      </c>
      <c r="AP61" s="5">
        <f t="shared" si="18"/>
        <v>1.3827453849201166</v>
      </c>
      <c r="AQ61" s="5">
        <f t="shared" si="19"/>
        <v>1.367604832865569</v>
      </c>
      <c r="AR61" s="5">
        <f t="shared" si="20"/>
        <v>98.8</v>
      </c>
      <c r="AS61" s="5">
        <f t="shared" si="21"/>
        <v>97.953073029999999</v>
      </c>
    </row>
    <row r="62" spans="1:45" x14ac:dyDescent="0.25">
      <c r="A62" s="1">
        <v>45322.666666666664</v>
      </c>
      <c r="B62">
        <v>20240216</v>
      </c>
      <c r="C62">
        <v>4663.5</v>
      </c>
      <c r="D62">
        <v>4648.2287960000003</v>
      </c>
      <c r="E62" t="s">
        <v>40</v>
      </c>
      <c r="F62">
        <v>4575</v>
      </c>
      <c r="G62">
        <v>10</v>
      </c>
      <c r="H62" t="s">
        <v>41</v>
      </c>
      <c r="I62" s="3">
        <v>23.7</v>
      </c>
      <c r="J62" s="3">
        <v>24.2</v>
      </c>
      <c r="K62" s="5">
        <v>14.45934214</v>
      </c>
      <c r="L62" s="5">
        <v>0.64329366399999999</v>
      </c>
      <c r="M62" s="5">
        <v>23.922661860000002</v>
      </c>
      <c r="N62" s="5">
        <v>-0.282068233</v>
      </c>
      <c r="O62" s="5">
        <v>3.130463073</v>
      </c>
      <c r="P62" s="5">
        <v>2.2485420000000001E-3</v>
      </c>
      <c r="Q62" s="5">
        <v>-2.028576878</v>
      </c>
      <c r="R62">
        <v>0</v>
      </c>
      <c r="S62" t="b">
        <v>1</v>
      </c>
      <c r="T62" s="1">
        <v>45322.666666666664</v>
      </c>
      <c r="U62" s="1">
        <v>45338.666666666664</v>
      </c>
      <c r="V62" s="3">
        <f t="shared" si="0"/>
        <v>4.3835616438356165E-2</v>
      </c>
      <c r="W62">
        <v>3.7900000000000003E-2</v>
      </c>
      <c r="X62" s="7">
        <v>0.15692128474419872</v>
      </c>
      <c r="Y62" s="3">
        <f t="shared" si="1"/>
        <v>1.9159540457296443E-2</v>
      </c>
      <c r="Z62" s="9">
        <f t="shared" si="2"/>
        <v>5.0212144802884953E-2</v>
      </c>
      <c r="AA62" s="3">
        <f t="shared" si="3"/>
        <v>4.3835616438356165E-2</v>
      </c>
      <c r="AB62" s="3">
        <f t="shared" si="4"/>
        <v>3.2854541759481742E-2</v>
      </c>
      <c r="AC62" s="3">
        <f t="shared" si="5"/>
        <v>0.65015731869881532</v>
      </c>
      <c r="AD62" s="3">
        <f t="shared" si="6"/>
        <v>0.74220469618756846</v>
      </c>
      <c r="AE62" s="3">
        <f t="shared" si="7"/>
        <v>0.25779530381243154</v>
      </c>
      <c r="AF62" s="3">
        <f t="shared" si="8"/>
        <v>2.5587855197115053E-2</v>
      </c>
      <c r="AG62" s="3">
        <f t="shared" si="9"/>
        <v>0.61730277693933355</v>
      </c>
      <c r="AH62" s="3">
        <f t="shared" si="10"/>
        <v>0.73148248223135492</v>
      </c>
      <c r="AI62" s="3">
        <f t="shared" si="11"/>
        <v>0.26851751776864508</v>
      </c>
      <c r="AJ62" s="20" t="str">
        <f t="shared" si="12"/>
        <v>Put</v>
      </c>
      <c r="AK62" s="20">
        <f t="shared" si="13"/>
        <v>24.199999780074904</v>
      </c>
      <c r="AL62" s="3">
        <f t="shared" si="14"/>
        <v>24.199999780074904</v>
      </c>
      <c r="AM62" s="3">
        <f t="shared" si="15"/>
        <v>24.2</v>
      </c>
      <c r="AN62" s="5">
        <f t="shared" si="16"/>
        <v>23.922661860000002</v>
      </c>
      <c r="AO62" s="5">
        <f t="shared" si="17"/>
        <v>2.199250950241094E-7</v>
      </c>
      <c r="AP62" s="5">
        <f t="shared" si="18"/>
        <v>0.65015731869881532</v>
      </c>
      <c r="AQ62" s="5">
        <f t="shared" si="19"/>
        <v>0.61730277693933355</v>
      </c>
      <c r="AR62" s="5">
        <f t="shared" si="20"/>
        <v>24.2</v>
      </c>
      <c r="AS62" s="5">
        <f t="shared" si="21"/>
        <v>23.922661860000002</v>
      </c>
    </row>
    <row r="63" spans="1:45" x14ac:dyDescent="0.25">
      <c r="A63" s="1">
        <v>45322.666666666664</v>
      </c>
      <c r="B63">
        <v>20240216</v>
      </c>
      <c r="C63">
        <v>4663.5</v>
      </c>
      <c r="D63">
        <v>4648.2287960000003</v>
      </c>
      <c r="E63" t="s">
        <v>42</v>
      </c>
      <c r="F63">
        <v>4600</v>
      </c>
      <c r="G63">
        <v>10</v>
      </c>
      <c r="H63" t="s">
        <v>41</v>
      </c>
      <c r="I63" s="3">
        <v>78.7</v>
      </c>
      <c r="J63" s="3">
        <v>80.2</v>
      </c>
      <c r="K63" s="5">
        <v>13.956140660000001</v>
      </c>
      <c r="L63" s="5">
        <v>0.64329366399999999</v>
      </c>
      <c r="M63" s="5">
        <v>79.434831520000003</v>
      </c>
      <c r="N63" s="5">
        <v>0.65089102399999998</v>
      </c>
      <c r="O63" s="5">
        <v>3.4097443869999999</v>
      </c>
      <c r="P63" s="5">
        <v>2.639883E-3</v>
      </c>
      <c r="Q63" s="5">
        <v>-2.2187517259999998</v>
      </c>
      <c r="R63">
        <v>0</v>
      </c>
      <c r="S63" t="b">
        <v>1</v>
      </c>
      <c r="T63" s="1">
        <v>45322.666666666664</v>
      </c>
      <c r="U63" s="1">
        <v>45338.666666666664</v>
      </c>
      <c r="V63" s="3">
        <f t="shared" si="0"/>
        <v>4.3835616438356165E-2</v>
      </c>
      <c r="W63">
        <v>3.7900000000000003E-2</v>
      </c>
      <c r="X63" s="7">
        <v>8.5855500000000001E-2</v>
      </c>
      <c r="Y63" s="3">
        <f t="shared" si="1"/>
        <v>1.3709935689731839E-2</v>
      </c>
      <c r="Z63" s="9">
        <f t="shared" si="2"/>
        <v>4.1585583440125001E-2</v>
      </c>
      <c r="AA63" s="3">
        <f t="shared" si="3"/>
        <v>4.3835616438356165E-2</v>
      </c>
      <c r="AB63" s="3">
        <f t="shared" si="4"/>
        <v>1.7975529034377637E-2</v>
      </c>
      <c r="AC63" s="3">
        <f t="shared" si="5"/>
        <v>0.86411172350323018</v>
      </c>
      <c r="AD63" s="3">
        <f t="shared" si="6"/>
        <v>0.80623674028688008</v>
      </c>
      <c r="AE63" s="3">
        <f t="shared" si="7"/>
        <v>0.19376325971311989</v>
      </c>
      <c r="AF63" s="3">
        <f t="shared" si="8"/>
        <v>3.4214416559875005E-2</v>
      </c>
      <c r="AG63" s="3">
        <f t="shared" si="9"/>
        <v>0.84613619446885247</v>
      </c>
      <c r="AH63" s="3">
        <f t="shared" si="10"/>
        <v>0.80126161431866394</v>
      </c>
      <c r="AI63" s="3">
        <f t="shared" si="11"/>
        <v>0.19873838568133601</v>
      </c>
      <c r="AJ63" s="20">
        <f t="shared" si="12"/>
        <v>80.200011325688138</v>
      </c>
      <c r="AK63" s="20" t="str">
        <f t="shared" si="13"/>
        <v>Call</v>
      </c>
      <c r="AL63" s="3">
        <f t="shared" si="14"/>
        <v>80.200011325688138</v>
      </c>
      <c r="AM63" s="3">
        <f t="shared" si="15"/>
        <v>80.2</v>
      </c>
      <c r="AN63" s="5">
        <f t="shared" si="16"/>
        <v>79.434831520000003</v>
      </c>
      <c r="AO63" s="5">
        <f t="shared" si="17"/>
        <v>-1.1325688134888878E-5</v>
      </c>
      <c r="AP63" s="5">
        <f t="shared" si="18"/>
        <v>0.86411172350323018</v>
      </c>
      <c r="AQ63" s="5">
        <f t="shared" si="19"/>
        <v>0.84613619446885247</v>
      </c>
      <c r="AR63" s="5">
        <f t="shared" si="20"/>
        <v>80.2</v>
      </c>
      <c r="AS63" s="5">
        <f t="shared" si="21"/>
        <v>79.434831520000003</v>
      </c>
    </row>
    <row r="64" spans="1:45" x14ac:dyDescent="0.25">
      <c r="A64" s="1">
        <v>45322.666666666664</v>
      </c>
      <c r="B64">
        <v>20240216</v>
      </c>
      <c r="C64">
        <v>4663.5</v>
      </c>
      <c r="D64">
        <v>4648.2287960000003</v>
      </c>
      <c r="E64" t="s">
        <v>40</v>
      </c>
      <c r="F64">
        <v>4600</v>
      </c>
      <c r="G64">
        <v>10</v>
      </c>
      <c r="H64" t="s">
        <v>41</v>
      </c>
      <c r="I64" s="3">
        <v>30</v>
      </c>
      <c r="J64" s="3">
        <v>30.6</v>
      </c>
      <c r="K64" s="5">
        <v>13.956140660000001</v>
      </c>
      <c r="L64" s="5">
        <v>0.64329366399999999</v>
      </c>
      <c r="M64" s="5">
        <v>30.360499000000001</v>
      </c>
      <c r="N64" s="5">
        <v>-0.34428273100000001</v>
      </c>
      <c r="O64" s="5">
        <v>3.4097443869999999</v>
      </c>
      <c r="P64" s="5">
        <v>2.639883E-3</v>
      </c>
      <c r="Q64" s="5">
        <v>-2.2187517259999998</v>
      </c>
      <c r="R64">
        <v>0</v>
      </c>
      <c r="S64" t="b">
        <v>1</v>
      </c>
      <c r="T64" s="1">
        <v>45322.666666666664</v>
      </c>
      <c r="U64" s="1">
        <v>45338.666666666664</v>
      </c>
      <c r="V64" s="3">
        <f t="shared" si="0"/>
        <v>4.3835616438356165E-2</v>
      </c>
      <c r="W64">
        <v>3.7900000000000003E-2</v>
      </c>
      <c r="X64" s="7">
        <v>0.15400779119043384</v>
      </c>
      <c r="Y64" s="3">
        <f t="shared" si="1"/>
        <v>1.3709935689731839E-2</v>
      </c>
      <c r="Z64" s="9">
        <f t="shared" si="2"/>
        <v>4.9759199873678141E-2</v>
      </c>
      <c r="AA64" s="3">
        <f t="shared" si="3"/>
        <v>4.3835616438356165E-2</v>
      </c>
      <c r="AB64" s="3">
        <f t="shared" si="4"/>
        <v>3.2244544869740571E-2</v>
      </c>
      <c r="AC64" s="3">
        <f t="shared" si="5"/>
        <v>0.49283253815087108</v>
      </c>
      <c r="AD64" s="3">
        <f t="shared" si="6"/>
        <v>0.68893454111361951</v>
      </c>
      <c r="AE64" s="3">
        <f t="shared" si="7"/>
        <v>0.31106545888638049</v>
      </c>
      <c r="AF64" s="3">
        <f t="shared" si="8"/>
        <v>2.6040800126321866E-2</v>
      </c>
      <c r="AG64" s="3">
        <f t="shared" si="9"/>
        <v>0.46058799328113048</v>
      </c>
      <c r="AH64" s="3">
        <f t="shared" si="10"/>
        <v>0.67745288628115286</v>
      </c>
      <c r="AI64" s="3">
        <f t="shared" si="11"/>
        <v>0.3225471137188472</v>
      </c>
      <c r="AJ64" s="20" t="str">
        <f t="shared" si="12"/>
        <v>Put</v>
      </c>
      <c r="AK64" s="20">
        <f t="shared" si="13"/>
        <v>30.599999847775734</v>
      </c>
      <c r="AL64" s="3">
        <f t="shared" si="14"/>
        <v>30.599999847775734</v>
      </c>
      <c r="AM64" s="3">
        <f t="shared" si="15"/>
        <v>30.6</v>
      </c>
      <c r="AN64" s="5">
        <f t="shared" si="16"/>
        <v>30.360499000000001</v>
      </c>
      <c r="AO64" s="5">
        <f t="shared" si="17"/>
        <v>1.5222426696936964E-7</v>
      </c>
      <c r="AP64" s="5">
        <f t="shared" si="18"/>
        <v>0.49283253815087108</v>
      </c>
      <c r="AQ64" s="5">
        <f t="shared" si="19"/>
        <v>0.46058799328113048</v>
      </c>
      <c r="AR64" s="5">
        <f t="shared" si="20"/>
        <v>30.6</v>
      </c>
      <c r="AS64" s="5">
        <f t="shared" si="21"/>
        <v>30.360499000000001</v>
      </c>
    </row>
    <row r="65" spans="1:45" x14ac:dyDescent="0.25">
      <c r="A65" s="1">
        <v>45322.666666666664</v>
      </c>
      <c r="B65">
        <v>20240216</v>
      </c>
      <c r="C65">
        <v>4663.5</v>
      </c>
      <c r="D65">
        <v>4648.2287960000003</v>
      </c>
      <c r="E65" t="s">
        <v>42</v>
      </c>
      <c r="F65">
        <v>4625</v>
      </c>
      <c r="G65">
        <v>10</v>
      </c>
      <c r="H65" t="s">
        <v>41</v>
      </c>
      <c r="I65" s="3">
        <v>62</v>
      </c>
      <c r="J65" s="3">
        <v>63.2</v>
      </c>
      <c r="K65" s="5">
        <v>13.49452851</v>
      </c>
      <c r="L65" s="5">
        <v>0.64329366399999999</v>
      </c>
      <c r="M65" s="5">
        <v>62.629016839999998</v>
      </c>
      <c r="N65" s="5">
        <v>0.57928930099999998</v>
      </c>
      <c r="O65" s="5">
        <v>3.6098760140000001</v>
      </c>
      <c r="P65" s="5">
        <v>2.9924679999999999E-3</v>
      </c>
      <c r="Q65" s="5">
        <v>-2.3514645679999999</v>
      </c>
      <c r="R65">
        <v>0</v>
      </c>
      <c r="S65" t="b">
        <v>1</v>
      </c>
      <c r="T65" s="1">
        <v>45322.666666666664</v>
      </c>
      <c r="U65" s="1">
        <v>45338.666666666664</v>
      </c>
      <c r="V65" s="3">
        <f t="shared" si="0"/>
        <v>4.3835616438356165E-2</v>
      </c>
      <c r="W65">
        <v>3.7900000000000003E-2</v>
      </c>
      <c r="X65" s="7">
        <v>9.1402582153100209E-2</v>
      </c>
      <c r="Y65" s="3">
        <f t="shared" si="1"/>
        <v>8.289868220392585E-3</v>
      </c>
      <c r="Z65" s="9">
        <f t="shared" si="2"/>
        <v>4.2077216012127119E-2</v>
      </c>
      <c r="AA65" s="3">
        <f t="shared" si="3"/>
        <v>4.3835616438356165E-2</v>
      </c>
      <c r="AB65" s="3">
        <f t="shared" si="4"/>
        <v>1.9136919234179987E-2</v>
      </c>
      <c r="AC65" s="3">
        <f t="shared" si="5"/>
        <v>0.52957055408340403</v>
      </c>
      <c r="AD65" s="3">
        <f t="shared" si="6"/>
        <v>0.70179514262862075</v>
      </c>
      <c r="AE65" s="3">
        <f t="shared" si="7"/>
        <v>0.29820485737137925</v>
      </c>
      <c r="AF65" s="3">
        <f t="shared" si="8"/>
        <v>3.3722783987872887E-2</v>
      </c>
      <c r="AG65" s="3">
        <f t="shared" si="9"/>
        <v>0.5104336348492241</v>
      </c>
      <c r="AH65" s="3">
        <f t="shared" si="10"/>
        <v>0.69512615106842313</v>
      </c>
      <c r="AI65" s="3">
        <f t="shared" si="11"/>
        <v>0.30487384893157687</v>
      </c>
      <c r="AJ65" s="20">
        <f t="shared" si="12"/>
        <v>63.199999607199516</v>
      </c>
      <c r="AK65" s="20" t="str">
        <f t="shared" si="13"/>
        <v>Call</v>
      </c>
      <c r="AL65" s="3">
        <f t="shared" si="14"/>
        <v>63.199999607199516</v>
      </c>
      <c r="AM65" s="3">
        <f t="shared" si="15"/>
        <v>63.2</v>
      </c>
      <c r="AN65" s="5">
        <f t="shared" si="16"/>
        <v>62.629016839999998</v>
      </c>
      <c r="AO65" s="5">
        <f t="shared" si="17"/>
        <v>3.9280048724776861E-7</v>
      </c>
      <c r="AP65" s="5">
        <f t="shared" si="18"/>
        <v>0.52957055408340403</v>
      </c>
      <c r="AQ65" s="5">
        <f t="shared" si="19"/>
        <v>0.5104336348492241</v>
      </c>
      <c r="AR65" s="5">
        <f t="shared" si="20"/>
        <v>63.2</v>
      </c>
      <c r="AS65" s="5">
        <f t="shared" si="21"/>
        <v>62.629016839999998</v>
      </c>
    </row>
    <row r="66" spans="1:45" x14ac:dyDescent="0.25">
      <c r="A66" s="1">
        <v>45322.666666666664</v>
      </c>
      <c r="B66">
        <v>20240216</v>
      </c>
      <c r="C66">
        <v>4663.5</v>
      </c>
      <c r="D66">
        <v>4648.2287960000003</v>
      </c>
      <c r="E66" t="s">
        <v>40</v>
      </c>
      <c r="F66">
        <v>4625</v>
      </c>
      <c r="G66">
        <v>10</v>
      </c>
      <c r="H66" t="s">
        <v>41</v>
      </c>
      <c r="I66" s="3">
        <v>38</v>
      </c>
      <c r="J66" s="3">
        <v>38.6</v>
      </c>
      <c r="K66" s="5">
        <v>13.49452851</v>
      </c>
      <c r="L66" s="5">
        <v>0.64329366399999999</v>
      </c>
      <c r="M66" s="5">
        <v>38.510762970000002</v>
      </c>
      <c r="N66" s="5">
        <v>-0.41588445400000001</v>
      </c>
      <c r="O66" s="5">
        <v>3.6098760140000001</v>
      </c>
      <c r="P66" s="5">
        <v>2.9924679999999999E-3</v>
      </c>
      <c r="Q66" s="5">
        <v>-2.3514645679999999</v>
      </c>
      <c r="R66">
        <v>0</v>
      </c>
      <c r="S66" t="b">
        <v>1</v>
      </c>
      <c r="T66" s="1">
        <v>45322.666666666664</v>
      </c>
      <c r="U66" s="1">
        <v>45338.666666666664</v>
      </c>
      <c r="V66" s="3">
        <f t="shared" si="0"/>
        <v>4.3835616438356165E-2</v>
      </c>
      <c r="W66">
        <v>3.7900000000000003E-2</v>
      </c>
      <c r="X66" s="7">
        <v>0.15178286561518733</v>
      </c>
      <c r="Y66" s="3">
        <f t="shared" si="1"/>
        <v>8.289868220392585E-3</v>
      </c>
      <c r="Z66" s="9">
        <f t="shared" si="2"/>
        <v>4.9419019147179014E-2</v>
      </c>
      <c r="AA66" s="3">
        <f t="shared" si="3"/>
        <v>4.3835616438356165E-2</v>
      </c>
      <c r="AB66" s="3">
        <f t="shared" si="4"/>
        <v>3.1778713160913852E-2</v>
      </c>
      <c r="AC66" s="3">
        <f t="shared" si="5"/>
        <v>0.32903098799320346</v>
      </c>
      <c r="AD66" s="3">
        <f t="shared" si="6"/>
        <v>0.62893386706641874</v>
      </c>
      <c r="AE66" s="3">
        <f t="shared" si="7"/>
        <v>0.37106613293358126</v>
      </c>
      <c r="AF66" s="3">
        <f t="shared" si="8"/>
        <v>2.6380980852820993E-2</v>
      </c>
      <c r="AG66" s="3">
        <f t="shared" si="9"/>
        <v>0.29725227483228966</v>
      </c>
      <c r="AH66" s="3">
        <f t="shared" si="10"/>
        <v>0.61686304256919633</v>
      </c>
      <c r="AI66" s="3">
        <f t="shared" si="11"/>
        <v>0.38313695743080362</v>
      </c>
      <c r="AJ66" s="20" t="str">
        <f t="shared" si="12"/>
        <v>Put</v>
      </c>
      <c r="AK66" s="20">
        <f t="shared" si="13"/>
        <v>38.599999932869878</v>
      </c>
      <c r="AL66" s="3">
        <f t="shared" si="14"/>
        <v>38.599999932869878</v>
      </c>
      <c r="AM66" s="3">
        <f t="shared" si="15"/>
        <v>38.6</v>
      </c>
      <c r="AN66" s="5">
        <f t="shared" si="16"/>
        <v>38.510762970000002</v>
      </c>
      <c r="AO66" s="5">
        <f t="shared" si="17"/>
        <v>6.7130123682090925E-8</v>
      </c>
      <c r="AP66" s="5">
        <f t="shared" si="18"/>
        <v>0.32903098799320346</v>
      </c>
      <c r="AQ66" s="5">
        <f t="shared" si="19"/>
        <v>0.29725227483228966</v>
      </c>
      <c r="AR66" s="5">
        <f t="shared" si="20"/>
        <v>38.6</v>
      </c>
      <c r="AS66" s="5">
        <f t="shared" si="21"/>
        <v>38.510762970000002</v>
      </c>
    </row>
    <row r="67" spans="1:45" x14ac:dyDescent="0.25">
      <c r="A67" s="1">
        <v>45322.666666666664</v>
      </c>
      <c r="B67">
        <v>20240216</v>
      </c>
      <c r="C67">
        <v>4663.5</v>
      </c>
      <c r="D67">
        <v>4648.2287960000003</v>
      </c>
      <c r="E67" t="s">
        <v>42</v>
      </c>
      <c r="F67">
        <v>4650</v>
      </c>
      <c r="G67">
        <v>10</v>
      </c>
      <c r="H67" t="s">
        <v>41</v>
      </c>
      <c r="I67" s="3">
        <v>47.5</v>
      </c>
      <c r="J67" s="3">
        <v>48</v>
      </c>
      <c r="K67" s="5">
        <v>13.102048699999999</v>
      </c>
      <c r="L67" s="5">
        <v>0.64329366399999999</v>
      </c>
      <c r="M67" s="5">
        <v>47.908902410000003</v>
      </c>
      <c r="N67" s="5">
        <v>0.50002208699999995</v>
      </c>
      <c r="O67" s="5">
        <v>3.6881835010000001</v>
      </c>
      <c r="P67" s="5">
        <v>3.2373240000000002E-3</v>
      </c>
      <c r="Q67" s="5">
        <v>-2.398048492</v>
      </c>
      <c r="R67">
        <v>0</v>
      </c>
      <c r="S67" t="b">
        <v>1</v>
      </c>
      <c r="T67" s="1">
        <v>45322.666666666664</v>
      </c>
      <c r="U67" s="1">
        <v>45338.666666666664</v>
      </c>
      <c r="V67" s="3">
        <f t="shared" ref="V67:V106" si="22">(U67-T67)/365</f>
        <v>4.3835616438356165E-2</v>
      </c>
      <c r="W67">
        <v>3.7900000000000003E-2</v>
      </c>
      <c r="X67" s="7">
        <v>9.3689887661856527E-2</v>
      </c>
      <c r="Y67" s="3">
        <f t="shared" ref="Y67:Y106" si="23">(LN(C67/F67))</f>
        <v>2.8990195855162215E-3</v>
      </c>
      <c r="Z67" s="9">
        <f t="shared" ref="Z67:Z106" si="24">(W67+((X67)^2)/2)</f>
        <v>4.2288897525045652E-2</v>
      </c>
      <c r="AA67" s="3">
        <f t="shared" ref="AA67:AA106" si="25">V67</f>
        <v>4.3835616438356165E-2</v>
      </c>
      <c r="AB67" s="3">
        <f t="shared" ref="AB67:AB106" si="26">X67*SQRT(V67)</f>
        <v>1.9615811402802164E-2</v>
      </c>
      <c r="AC67" s="3">
        <f t="shared" ref="AC67:AC106" si="27">(Y67+Z67*AA67)/AB67</f>
        <v>0.24229328980732992</v>
      </c>
      <c r="AD67" s="3">
        <f t="shared" ref="AD67:AD106" si="28">_xlfn.NORM.DIST(AC67,0,1,TRUE)</f>
        <v>0.59572354357106772</v>
      </c>
      <c r="AE67" s="3">
        <f t="shared" ref="AE67:AE106" si="29">_xlfn.NORM.DIST(-AC67,0,1,TRUE)</f>
        <v>0.40427645642893228</v>
      </c>
      <c r="AF67" s="3">
        <f t="shared" ref="AF67:AF106" si="30">(W67-((X67)^2)/2)</f>
        <v>3.3511102474954355E-2</v>
      </c>
      <c r="AG67" s="3">
        <f t="shared" ref="AG67:AG106" si="31">(Y67+AF67*AA67)/AB67</f>
        <v>0.22267747840452776</v>
      </c>
      <c r="AH67" s="3">
        <f t="shared" ref="AH67:AH106" si="32">_xlfn.NORM.DIST(AG67,0,1,TRUE)</f>
        <v>0.58810673454300777</v>
      </c>
      <c r="AI67" s="3">
        <f t="shared" ref="AI67:AI106" si="33">_xlfn.NORM.DIST(-AG67,0,1,TRUE)</f>
        <v>0.41189326545699223</v>
      </c>
      <c r="AJ67" s="20">
        <f t="shared" ref="AJ67:AJ106" si="34">IF(E67="Call",C67*AD67-EXP(-W67*AA67)*F67*AH67,"Put")</f>
        <v>47.999999865371592</v>
      </c>
      <c r="AK67" s="20" t="str">
        <f t="shared" ref="AK67:AK106" si="35">IF(E67="Put",EXP(-W67*AA67)*F67*AI67-C67*AE67,"Call")</f>
        <v>Call</v>
      </c>
      <c r="AL67" s="3">
        <f t="shared" ref="AL67:AL106" si="36">IF(E67="Put",AK67,AJ67)</f>
        <v>47.999999865371592</v>
      </c>
      <c r="AM67" s="3">
        <f t="shared" ref="AM67:AM106" si="37">J67</f>
        <v>48</v>
      </c>
      <c r="AN67" s="5">
        <f t="shared" ref="AN67:AN106" si="38">M67</f>
        <v>47.908902410000003</v>
      </c>
      <c r="AO67" s="5">
        <f t="shared" ref="AO67:AO106" si="39">AM67-AL67</f>
        <v>1.3462840797728859E-7</v>
      </c>
      <c r="AP67" s="5">
        <f t="shared" ref="AP67:AP106" si="40">(LN(C67/F67)+(W67+((X67)^2)/2)*(V67))/(X67*SQRT(V67))</f>
        <v>0.24229328980732992</v>
      </c>
      <c r="AQ67" s="5">
        <f t="shared" ref="AQ67:AQ106" si="41">(LN(C67/F67)+(W67-((X67)^2)/2)*(V67))/(X67*SQRT(V67))</f>
        <v>0.22267747840452776</v>
      </c>
      <c r="AR67" s="5">
        <f t="shared" ref="AR67:AR106" si="42">J67</f>
        <v>48</v>
      </c>
      <c r="AS67" s="5">
        <f t="shared" ref="AS67:AS106" si="43">M67</f>
        <v>47.908902410000003</v>
      </c>
    </row>
    <row r="68" spans="1:45" x14ac:dyDescent="0.25">
      <c r="A68" s="1">
        <v>45322.666666666664</v>
      </c>
      <c r="B68">
        <v>20240216</v>
      </c>
      <c r="C68">
        <v>4663.5</v>
      </c>
      <c r="D68">
        <v>4648.2287960000003</v>
      </c>
      <c r="E68" t="s">
        <v>40</v>
      </c>
      <c r="F68">
        <v>4650</v>
      </c>
      <c r="G68">
        <v>10</v>
      </c>
      <c r="H68" t="s">
        <v>41</v>
      </c>
      <c r="I68" s="3">
        <v>48.2</v>
      </c>
      <c r="J68" s="3">
        <v>48.9</v>
      </c>
      <c r="K68" s="5">
        <v>13.102048699999999</v>
      </c>
      <c r="L68" s="5">
        <v>0.64329366399999999</v>
      </c>
      <c r="M68" s="5">
        <v>48.746727200000002</v>
      </c>
      <c r="N68" s="5">
        <v>-0.49515166799999999</v>
      </c>
      <c r="O68" s="5">
        <v>3.6881835010000001</v>
      </c>
      <c r="P68" s="5">
        <v>3.2373240000000002E-3</v>
      </c>
      <c r="Q68" s="5">
        <v>-2.398048492</v>
      </c>
      <c r="R68">
        <v>0</v>
      </c>
      <c r="S68" t="b">
        <v>1</v>
      </c>
      <c r="T68" s="1">
        <v>45322.666666666664</v>
      </c>
      <c r="U68" s="1">
        <v>45338.666666666664</v>
      </c>
      <c r="V68" s="3">
        <f t="shared" si="22"/>
        <v>4.3835616438356165E-2</v>
      </c>
      <c r="W68">
        <v>3.7900000000000003E-2</v>
      </c>
      <c r="X68" s="7">
        <v>0.15156688263984003</v>
      </c>
      <c r="Y68" s="3">
        <f t="shared" si="23"/>
        <v>2.8990195855162215E-3</v>
      </c>
      <c r="Z68" s="9">
        <f t="shared" si="24"/>
        <v>4.9386259956579526E-2</v>
      </c>
      <c r="AA68" s="3">
        <f t="shared" si="25"/>
        <v>4.3835616438356165E-2</v>
      </c>
      <c r="AB68" s="3">
        <f t="shared" si="26"/>
        <v>3.173349289844625E-2</v>
      </c>
      <c r="AC68" s="3">
        <f t="shared" si="27"/>
        <v>0.15957577536463785</v>
      </c>
      <c r="AD68" s="3">
        <f t="shared" si="28"/>
        <v>0.56339236856359931</v>
      </c>
      <c r="AE68" s="3">
        <f t="shared" si="29"/>
        <v>0.43660763143640069</v>
      </c>
      <c r="AF68" s="3">
        <f t="shared" si="30"/>
        <v>2.6413740043420481E-2</v>
      </c>
      <c r="AG68" s="3">
        <f t="shared" si="31"/>
        <v>0.12784228246619161</v>
      </c>
      <c r="AH68" s="3">
        <f t="shared" si="32"/>
        <v>0.55086310599375921</v>
      </c>
      <c r="AI68" s="3">
        <f t="shared" si="33"/>
        <v>0.44913689400624079</v>
      </c>
      <c r="AJ68" s="20" t="str">
        <f t="shared" si="34"/>
        <v>Put</v>
      </c>
      <c r="AK68" s="20">
        <f t="shared" si="35"/>
        <v>48.899999972432397</v>
      </c>
      <c r="AL68" s="3">
        <f t="shared" si="36"/>
        <v>48.899999972432397</v>
      </c>
      <c r="AM68" s="3">
        <f t="shared" si="37"/>
        <v>48.9</v>
      </c>
      <c r="AN68" s="5">
        <f t="shared" si="38"/>
        <v>48.746727200000002</v>
      </c>
      <c r="AO68" s="5">
        <f t="shared" si="39"/>
        <v>2.7567601534883579E-8</v>
      </c>
      <c r="AP68" s="5">
        <f t="shared" si="40"/>
        <v>0.15957577536463785</v>
      </c>
      <c r="AQ68" s="5">
        <f t="shared" si="41"/>
        <v>0.12784228246619161</v>
      </c>
      <c r="AR68" s="5">
        <f t="shared" si="42"/>
        <v>48.9</v>
      </c>
      <c r="AS68" s="5">
        <f t="shared" si="43"/>
        <v>48.746727200000002</v>
      </c>
    </row>
    <row r="69" spans="1:45" x14ac:dyDescent="0.25">
      <c r="A69" s="1">
        <v>45322.666666666664</v>
      </c>
      <c r="B69">
        <v>20240216</v>
      </c>
      <c r="C69">
        <v>4663.5</v>
      </c>
      <c r="D69">
        <v>4648.2287960000003</v>
      </c>
      <c r="E69" t="s">
        <v>42</v>
      </c>
      <c r="F69">
        <v>4675</v>
      </c>
      <c r="G69">
        <v>10</v>
      </c>
      <c r="H69" t="s">
        <v>41</v>
      </c>
      <c r="I69" s="3">
        <v>35.200000000000003</v>
      </c>
      <c r="J69" s="3">
        <v>35.799999999999997</v>
      </c>
      <c r="K69" s="5">
        <v>12.805653</v>
      </c>
      <c r="L69" s="5">
        <v>0.64329366399999999</v>
      </c>
      <c r="M69" s="5">
        <v>35.57691896</v>
      </c>
      <c r="N69" s="5">
        <v>0.41695318599999998</v>
      </c>
      <c r="O69" s="5">
        <v>3.6119201809999999</v>
      </c>
      <c r="P69" s="5">
        <v>3.3007459999999998E-3</v>
      </c>
      <c r="Q69" s="5">
        <v>-2.3356568719999999</v>
      </c>
      <c r="R69">
        <v>0</v>
      </c>
      <c r="S69" t="b">
        <v>1</v>
      </c>
      <c r="T69" s="1">
        <v>45322.666666666664</v>
      </c>
      <c r="U69" s="1">
        <v>45338.666666666664</v>
      </c>
      <c r="V69" s="3">
        <f t="shared" si="22"/>
        <v>4.3835616438356165E-2</v>
      </c>
      <c r="W69">
        <v>3.7900000000000003E-2</v>
      </c>
      <c r="X69" s="7">
        <v>9.6593899999999996E-2</v>
      </c>
      <c r="Y69" s="3">
        <f t="shared" si="23"/>
        <v>-2.4629235558691633E-3</v>
      </c>
      <c r="Z69" s="9">
        <f t="shared" si="24"/>
        <v>4.2565190758605001E-2</v>
      </c>
      <c r="AA69" s="3">
        <f t="shared" si="25"/>
        <v>4.3835616438356165E-2</v>
      </c>
      <c r="AB69" s="3">
        <f t="shared" si="26"/>
        <v>2.0223823214514734E-2</v>
      </c>
      <c r="AC69" s="3">
        <f t="shared" si="27"/>
        <v>-2.9522221086316892E-2</v>
      </c>
      <c r="AD69" s="3">
        <f t="shared" si="28"/>
        <v>0.48822404839989947</v>
      </c>
      <c r="AE69" s="3">
        <f t="shared" si="29"/>
        <v>0.51177595160010059</v>
      </c>
      <c r="AF69" s="3">
        <f t="shared" si="30"/>
        <v>3.3234809241395005E-2</v>
      </c>
      <c r="AG69" s="3">
        <f t="shared" si="31"/>
        <v>-4.9746044300831627E-2</v>
      </c>
      <c r="AH69" s="3">
        <f t="shared" si="32"/>
        <v>0.48016238190575194</v>
      </c>
      <c r="AI69" s="3">
        <f t="shared" si="33"/>
        <v>0.51983761809424811</v>
      </c>
      <c r="AJ69" s="20">
        <f t="shared" si="34"/>
        <v>35.79999325996414</v>
      </c>
      <c r="AK69" s="20" t="str">
        <f t="shared" si="35"/>
        <v>Call</v>
      </c>
      <c r="AL69" s="3">
        <f t="shared" si="36"/>
        <v>35.79999325996414</v>
      </c>
      <c r="AM69" s="3">
        <f t="shared" si="37"/>
        <v>35.799999999999997</v>
      </c>
      <c r="AN69" s="5">
        <f t="shared" si="38"/>
        <v>35.57691896</v>
      </c>
      <c r="AO69" s="5">
        <f t="shared" si="39"/>
        <v>6.7400358574332131E-6</v>
      </c>
      <c r="AP69" s="5">
        <f t="shared" si="40"/>
        <v>-2.9522221086316892E-2</v>
      </c>
      <c r="AQ69" s="5">
        <f t="shared" si="41"/>
        <v>-4.9746044300831627E-2</v>
      </c>
      <c r="AR69" s="5">
        <f t="shared" si="42"/>
        <v>35.799999999999997</v>
      </c>
      <c r="AS69" s="5">
        <f t="shared" si="43"/>
        <v>35.57691896</v>
      </c>
    </row>
    <row r="70" spans="1:45" x14ac:dyDescent="0.25">
      <c r="A70" s="1">
        <v>45322.666666666664</v>
      </c>
      <c r="B70">
        <v>20240216</v>
      </c>
      <c r="C70">
        <v>4663.5</v>
      </c>
      <c r="D70">
        <v>4648.2287960000003</v>
      </c>
      <c r="E70" t="s">
        <v>40</v>
      </c>
      <c r="F70">
        <v>4675</v>
      </c>
      <c r="G70">
        <v>10</v>
      </c>
      <c r="H70" t="s">
        <v>41</v>
      </c>
      <c r="I70" s="3">
        <v>61</v>
      </c>
      <c r="J70" s="3">
        <v>61.7</v>
      </c>
      <c r="K70" s="5">
        <v>12.805653</v>
      </c>
      <c r="L70" s="5">
        <v>0.64329366399999999</v>
      </c>
      <c r="M70" s="5">
        <v>61.370822390000001</v>
      </c>
      <c r="N70" s="5">
        <v>-0.57822056899999996</v>
      </c>
      <c r="O70" s="5">
        <v>3.6119201809999999</v>
      </c>
      <c r="P70" s="5">
        <v>3.3007459999999998E-3</v>
      </c>
      <c r="Q70" s="5">
        <v>-2.3356568719999999</v>
      </c>
      <c r="R70">
        <v>0</v>
      </c>
      <c r="S70" t="b">
        <v>1</v>
      </c>
      <c r="T70" s="1">
        <v>45322.666666666664</v>
      </c>
      <c r="U70" s="1">
        <v>45338.666666666664</v>
      </c>
      <c r="V70" s="3">
        <f t="shared" si="22"/>
        <v>4.3835616438356165E-2</v>
      </c>
      <c r="W70">
        <v>3.7900000000000003E-2</v>
      </c>
      <c r="X70" s="7">
        <v>0.15349513170350754</v>
      </c>
      <c r="Y70" s="3">
        <f t="shared" si="23"/>
        <v>-2.4629235558691633E-3</v>
      </c>
      <c r="Z70" s="9">
        <f t="shared" si="24"/>
        <v>4.9680377728338568E-2</v>
      </c>
      <c r="AA70" s="3">
        <f t="shared" si="25"/>
        <v>4.3835616438356165E-2</v>
      </c>
      <c r="AB70" s="3">
        <f t="shared" si="26"/>
        <v>3.2137209573900552E-2</v>
      </c>
      <c r="AC70" s="3">
        <f t="shared" si="27"/>
        <v>-8.8730035070824047E-3</v>
      </c>
      <c r="AD70" s="3">
        <f t="shared" si="28"/>
        <v>0.49646023019472785</v>
      </c>
      <c r="AE70" s="3">
        <f t="shared" si="29"/>
        <v>0.50353976980527215</v>
      </c>
      <c r="AF70" s="3">
        <f t="shared" si="30"/>
        <v>2.6119622271661438E-2</v>
      </c>
      <c r="AG70" s="3">
        <f t="shared" si="31"/>
        <v>-4.1010213080982967E-2</v>
      </c>
      <c r="AH70" s="3">
        <f t="shared" si="32"/>
        <v>0.48364387692591326</v>
      </c>
      <c r="AI70" s="3">
        <f t="shared" si="33"/>
        <v>0.51635612307408674</v>
      </c>
      <c r="AJ70" s="20" t="str">
        <f t="shared" si="34"/>
        <v>Put</v>
      </c>
      <c r="AK70" s="20">
        <f t="shared" si="35"/>
        <v>61.699999998354997</v>
      </c>
      <c r="AL70" s="3">
        <f t="shared" si="36"/>
        <v>61.699999998354997</v>
      </c>
      <c r="AM70" s="3">
        <f t="shared" si="37"/>
        <v>61.7</v>
      </c>
      <c r="AN70" s="5">
        <f t="shared" si="38"/>
        <v>61.370822390000001</v>
      </c>
      <c r="AO70" s="5">
        <f t="shared" si="39"/>
        <v>1.6450059092676383E-9</v>
      </c>
      <c r="AP70" s="5">
        <f t="shared" si="40"/>
        <v>-8.8730035070824047E-3</v>
      </c>
      <c r="AQ70" s="5">
        <f t="shared" si="41"/>
        <v>-4.1010213080982967E-2</v>
      </c>
      <c r="AR70" s="5">
        <f t="shared" si="42"/>
        <v>61.7</v>
      </c>
      <c r="AS70" s="5">
        <f t="shared" si="43"/>
        <v>61.370822390000001</v>
      </c>
    </row>
    <row r="71" spans="1:45" x14ac:dyDescent="0.25">
      <c r="A71" s="1">
        <v>45322.666666666664</v>
      </c>
      <c r="B71">
        <v>20240216</v>
      </c>
      <c r="C71">
        <v>4663.5</v>
      </c>
      <c r="D71">
        <v>4648.2287960000003</v>
      </c>
      <c r="E71" t="s">
        <v>42</v>
      </c>
      <c r="F71">
        <v>4700</v>
      </c>
      <c r="G71">
        <v>10</v>
      </c>
      <c r="H71" t="s">
        <v>41</v>
      </c>
      <c r="I71" s="3">
        <v>25.5</v>
      </c>
      <c r="J71" s="3">
        <v>26</v>
      </c>
      <c r="K71" s="5">
        <v>12.60381662</v>
      </c>
      <c r="L71" s="5">
        <v>0.64329366399999999</v>
      </c>
      <c r="M71" s="5">
        <v>25.68141662</v>
      </c>
      <c r="N71" s="5">
        <v>0.33539074200000002</v>
      </c>
      <c r="O71" s="5">
        <v>3.3760061709999998</v>
      </c>
      <c r="P71" s="5">
        <v>3.151671E-3</v>
      </c>
      <c r="Q71" s="5">
        <v>-2.16042135</v>
      </c>
      <c r="R71">
        <v>0</v>
      </c>
      <c r="S71" t="b">
        <v>1</v>
      </c>
      <c r="T71" s="1">
        <v>45322.666666666664</v>
      </c>
      <c r="U71" s="1">
        <v>45338.666666666664</v>
      </c>
      <c r="V71" s="3">
        <f t="shared" si="22"/>
        <v>4.3835616438356165E-2</v>
      </c>
      <c r="W71">
        <v>3.7900000000000003E-2</v>
      </c>
      <c r="X71" s="7">
        <v>9.8962900000000006E-2</v>
      </c>
      <c r="Y71" s="3">
        <f t="shared" si="23"/>
        <v>-7.7962695312317754E-3</v>
      </c>
      <c r="Z71" s="9">
        <f t="shared" si="24"/>
        <v>4.2796827788205004E-2</v>
      </c>
      <c r="AA71" s="3">
        <f t="shared" si="25"/>
        <v>4.3835616438356165E-2</v>
      </c>
      <c r="AB71" s="3">
        <f t="shared" si="26"/>
        <v>2.0719819723561225E-2</v>
      </c>
      <c r="AC71" s="3">
        <f t="shared" si="27"/>
        <v>-0.28572855760890253</v>
      </c>
      <c r="AD71" s="3">
        <f t="shared" si="28"/>
        <v>0.38754301516245915</v>
      </c>
      <c r="AE71" s="3">
        <f t="shared" si="29"/>
        <v>0.61245698483754085</v>
      </c>
      <c r="AF71" s="3">
        <f t="shared" si="30"/>
        <v>3.3003172211795002E-2</v>
      </c>
      <c r="AG71" s="3">
        <f t="shared" si="31"/>
        <v>-0.30644837733246377</v>
      </c>
      <c r="AH71" s="3">
        <f t="shared" si="32"/>
        <v>0.37963163955838886</v>
      </c>
      <c r="AI71" s="3">
        <f t="shared" si="33"/>
        <v>0.62036836044161114</v>
      </c>
      <c r="AJ71" s="20">
        <f t="shared" si="34"/>
        <v>26.000014479866422</v>
      </c>
      <c r="AK71" s="20" t="str">
        <f t="shared" si="35"/>
        <v>Call</v>
      </c>
      <c r="AL71" s="3">
        <f t="shared" si="36"/>
        <v>26.000014479866422</v>
      </c>
      <c r="AM71" s="3">
        <f t="shared" si="37"/>
        <v>26</v>
      </c>
      <c r="AN71" s="5">
        <f t="shared" si="38"/>
        <v>25.68141662</v>
      </c>
      <c r="AO71" s="5">
        <f t="shared" si="39"/>
        <v>-1.4479866422334453E-5</v>
      </c>
      <c r="AP71" s="5">
        <f t="shared" si="40"/>
        <v>-0.28572855760890253</v>
      </c>
      <c r="AQ71" s="5">
        <f t="shared" si="41"/>
        <v>-0.30644837733246377</v>
      </c>
      <c r="AR71" s="5">
        <f t="shared" si="42"/>
        <v>26</v>
      </c>
      <c r="AS71" s="5">
        <f t="shared" si="43"/>
        <v>25.68141662</v>
      </c>
    </row>
    <row r="72" spans="1:45" x14ac:dyDescent="0.25">
      <c r="A72" s="1">
        <v>45322.666666666664</v>
      </c>
      <c r="B72">
        <v>20240216</v>
      </c>
      <c r="C72">
        <v>4663.5</v>
      </c>
      <c r="D72">
        <v>4648.2287960000003</v>
      </c>
      <c r="E72" t="s">
        <v>40</v>
      </c>
      <c r="F72">
        <v>4700</v>
      </c>
      <c r="G72">
        <v>10</v>
      </c>
      <c r="H72" t="s">
        <v>41</v>
      </c>
      <c r="I72" s="3">
        <v>75.8</v>
      </c>
      <c r="J72" s="3">
        <v>77.2</v>
      </c>
      <c r="K72" s="5">
        <v>12.60381662</v>
      </c>
      <c r="L72" s="5">
        <v>0.64329366399999999</v>
      </c>
      <c r="M72" s="5">
        <v>76.431398709999996</v>
      </c>
      <c r="N72" s="5">
        <v>-0.65978301299999997</v>
      </c>
      <c r="O72" s="5">
        <v>3.3760061709999998</v>
      </c>
      <c r="P72" s="5">
        <v>3.151671E-3</v>
      </c>
      <c r="Q72" s="5">
        <v>-2.16042135</v>
      </c>
      <c r="R72">
        <v>0</v>
      </c>
      <c r="S72" t="b">
        <v>1</v>
      </c>
      <c r="T72" s="1">
        <v>45322.666666666664</v>
      </c>
      <c r="U72" s="1">
        <v>45338.666666666664</v>
      </c>
      <c r="V72" s="3">
        <f t="shared" si="22"/>
        <v>4.3835616438356165E-2</v>
      </c>
      <c r="W72">
        <v>3.7900000000000003E-2</v>
      </c>
      <c r="X72" s="7">
        <v>0.15815883538550507</v>
      </c>
      <c r="Y72" s="3">
        <f t="shared" si="23"/>
        <v>-7.7962695312317754E-3</v>
      </c>
      <c r="Z72" s="9">
        <f t="shared" si="24"/>
        <v>5.0407108605249648E-2</v>
      </c>
      <c r="AA72" s="3">
        <f t="shared" si="25"/>
        <v>4.3835616438356165E-2</v>
      </c>
      <c r="AB72" s="3">
        <f t="shared" si="26"/>
        <v>3.3113647203912383E-2</v>
      </c>
      <c r="AC72" s="3">
        <f t="shared" si="27"/>
        <v>-0.16871119083449759</v>
      </c>
      <c r="AD72" s="3">
        <f t="shared" si="28"/>
        <v>0.43301190797639977</v>
      </c>
      <c r="AE72" s="3">
        <f t="shared" si="29"/>
        <v>0.56698809202360023</v>
      </c>
      <c r="AF72" s="3">
        <f t="shared" si="30"/>
        <v>2.5392891394750358E-2</v>
      </c>
      <c r="AG72" s="3">
        <f t="shared" si="31"/>
        <v>-0.20182483803840998</v>
      </c>
      <c r="AH72" s="3">
        <f t="shared" si="32"/>
        <v>0.42002683157692694</v>
      </c>
      <c r="AI72" s="3">
        <f t="shared" si="33"/>
        <v>0.57997316842307312</v>
      </c>
      <c r="AJ72" s="20" t="str">
        <f t="shared" si="34"/>
        <v>Put</v>
      </c>
      <c r="AK72" s="20">
        <f t="shared" si="35"/>
        <v>77.199999530247624</v>
      </c>
      <c r="AL72" s="3">
        <f t="shared" si="36"/>
        <v>77.199999530247624</v>
      </c>
      <c r="AM72" s="3">
        <f t="shared" si="37"/>
        <v>77.2</v>
      </c>
      <c r="AN72" s="5">
        <f t="shared" si="38"/>
        <v>76.431398709999996</v>
      </c>
      <c r="AO72" s="5">
        <f t="shared" si="39"/>
        <v>4.6975237921742519E-7</v>
      </c>
      <c r="AP72" s="5">
        <f t="shared" si="40"/>
        <v>-0.16871119083449759</v>
      </c>
      <c r="AQ72" s="5">
        <f t="shared" si="41"/>
        <v>-0.20182483803840998</v>
      </c>
      <c r="AR72" s="5">
        <f t="shared" si="42"/>
        <v>77.2</v>
      </c>
      <c r="AS72" s="5">
        <f t="shared" si="43"/>
        <v>76.431398709999996</v>
      </c>
    </row>
    <row r="73" spans="1:45" x14ac:dyDescent="0.25">
      <c r="A73" s="1">
        <v>45322.666666666664</v>
      </c>
      <c r="B73">
        <v>20240216</v>
      </c>
      <c r="C73">
        <v>4663.5</v>
      </c>
      <c r="D73">
        <v>4648.2287960000003</v>
      </c>
      <c r="E73" t="s">
        <v>42</v>
      </c>
      <c r="F73">
        <v>4725</v>
      </c>
      <c r="G73">
        <v>10</v>
      </c>
      <c r="H73" t="s">
        <v>41</v>
      </c>
      <c r="I73" s="3">
        <v>18</v>
      </c>
      <c r="J73" s="3">
        <v>18.5</v>
      </c>
      <c r="K73" s="5">
        <v>12.495044310000001</v>
      </c>
      <c r="L73" s="5">
        <v>0.64329366399999999</v>
      </c>
      <c r="M73" s="5">
        <v>18.091011250000001</v>
      </c>
      <c r="N73" s="5">
        <v>0.26059342000000002</v>
      </c>
      <c r="O73" s="5">
        <v>3.0097791950000001</v>
      </c>
      <c r="P73" s="5">
        <v>2.819939E-3</v>
      </c>
      <c r="Q73" s="5">
        <v>-1.899803495</v>
      </c>
      <c r="R73">
        <v>0</v>
      </c>
      <c r="S73" t="b">
        <v>1</v>
      </c>
      <c r="T73" s="1">
        <v>45322.666666666664</v>
      </c>
      <c r="U73" s="1">
        <v>45338.666666666664</v>
      </c>
      <c r="V73" s="3">
        <f t="shared" si="22"/>
        <v>4.3835616438356165E-2</v>
      </c>
      <c r="W73">
        <v>3.7900000000000003E-2</v>
      </c>
      <c r="X73" s="7">
        <v>0.10131900000000001</v>
      </c>
      <c r="Y73" s="3">
        <f t="shared" si="23"/>
        <v>-1.3101321760924956E-2</v>
      </c>
      <c r="Z73" s="9">
        <f t="shared" si="24"/>
        <v>4.3032769880500005E-2</v>
      </c>
      <c r="AA73" s="3">
        <f t="shared" si="25"/>
        <v>4.3835616438356165E-2</v>
      </c>
      <c r="AB73" s="3">
        <f t="shared" si="26"/>
        <v>2.1213115365167144E-2</v>
      </c>
      <c r="AC73" s="3">
        <f t="shared" si="27"/>
        <v>-0.52868018549405293</v>
      </c>
      <c r="AD73" s="3">
        <f t="shared" si="28"/>
        <v>0.29851366241063926</v>
      </c>
      <c r="AE73" s="3">
        <f t="shared" si="29"/>
        <v>0.70148633758936074</v>
      </c>
      <c r="AF73" s="3">
        <f t="shared" si="30"/>
        <v>3.2767230119500002E-2</v>
      </c>
      <c r="AG73" s="3">
        <f t="shared" si="31"/>
        <v>-0.54989330085922017</v>
      </c>
      <c r="AH73" s="3">
        <f t="shared" si="32"/>
        <v>0.29119627967665085</v>
      </c>
      <c r="AI73" s="3">
        <f t="shared" si="33"/>
        <v>0.70880372032334915</v>
      </c>
      <c r="AJ73" s="20">
        <f t="shared" si="34"/>
        <v>18.500028200037377</v>
      </c>
      <c r="AK73" s="20" t="str">
        <f t="shared" si="35"/>
        <v>Call</v>
      </c>
      <c r="AL73" s="3">
        <f t="shared" si="36"/>
        <v>18.500028200037377</v>
      </c>
      <c r="AM73" s="3">
        <f t="shared" si="37"/>
        <v>18.5</v>
      </c>
      <c r="AN73" s="5">
        <f t="shared" si="38"/>
        <v>18.091011250000001</v>
      </c>
      <c r="AO73" s="5">
        <f t="shared" si="39"/>
        <v>-2.820003737724619E-5</v>
      </c>
      <c r="AP73" s="5">
        <f t="shared" si="40"/>
        <v>-0.52868018549405293</v>
      </c>
      <c r="AQ73" s="5">
        <f t="shared" si="41"/>
        <v>-0.54989330085922017</v>
      </c>
      <c r="AR73" s="5">
        <f t="shared" si="42"/>
        <v>18.5</v>
      </c>
      <c r="AS73" s="5">
        <f t="shared" si="43"/>
        <v>18.091011250000001</v>
      </c>
    </row>
    <row r="74" spans="1:45" x14ac:dyDescent="0.25">
      <c r="A74" s="1">
        <v>45322.666666666664</v>
      </c>
      <c r="B74">
        <v>20240216</v>
      </c>
      <c r="C74">
        <v>4663.5</v>
      </c>
      <c r="D74">
        <v>4648.2287960000003</v>
      </c>
      <c r="E74" t="s">
        <v>40</v>
      </c>
      <c r="F74">
        <v>4725</v>
      </c>
      <c r="G74">
        <v>10</v>
      </c>
      <c r="H74" t="s">
        <v>41</v>
      </c>
      <c r="I74" s="3">
        <v>93.1</v>
      </c>
      <c r="J74" s="3">
        <v>94.7</v>
      </c>
      <c r="K74" s="5">
        <v>12.495044310000001</v>
      </c>
      <c r="L74" s="5">
        <v>0.64329366399999999</v>
      </c>
      <c r="M74" s="5">
        <v>93.797071990000006</v>
      </c>
      <c r="N74" s="5">
        <v>-0.73458033499999997</v>
      </c>
      <c r="O74" s="5">
        <v>3.0097791950000001</v>
      </c>
      <c r="P74" s="5">
        <v>2.819939E-3</v>
      </c>
      <c r="Q74" s="5">
        <v>-1.899803495</v>
      </c>
      <c r="R74">
        <v>0</v>
      </c>
      <c r="S74" t="b">
        <v>1</v>
      </c>
      <c r="T74" s="1">
        <v>45322.666666666664</v>
      </c>
      <c r="U74" s="1">
        <v>45338.666666666664</v>
      </c>
      <c r="V74" s="3">
        <f t="shared" si="22"/>
        <v>4.3835616438356165E-2</v>
      </c>
      <c r="W74">
        <v>3.7900000000000003E-2</v>
      </c>
      <c r="X74" s="7">
        <v>0.16424958136049927</v>
      </c>
      <c r="Y74" s="3">
        <f t="shared" si="23"/>
        <v>-1.3101321760924956E-2</v>
      </c>
      <c r="Z74" s="9">
        <f t="shared" si="24"/>
        <v>5.1388962488549642E-2</v>
      </c>
      <c r="AA74" s="3">
        <f t="shared" si="25"/>
        <v>4.3835616438356165E-2</v>
      </c>
      <c r="AB74" s="3">
        <f t="shared" si="26"/>
        <v>3.4388864063805188E-2</v>
      </c>
      <c r="AC74" s="3">
        <f t="shared" si="27"/>
        <v>-0.31546999900849293</v>
      </c>
      <c r="AD74" s="3">
        <f t="shared" si="28"/>
        <v>0.3762024131468667</v>
      </c>
      <c r="AE74" s="3">
        <f t="shared" si="29"/>
        <v>0.62379758685313336</v>
      </c>
      <c r="AF74" s="3">
        <f t="shared" si="30"/>
        <v>2.4411037511450368E-2</v>
      </c>
      <c r="AG74" s="3">
        <f t="shared" si="31"/>
        <v>-0.34985886307229813</v>
      </c>
      <c r="AH74" s="3">
        <f t="shared" si="32"/>
        <v>0.36322231040200398</v>
      </c>
      <c r="AI74" s="3">
        <f t="shared" si="33"/>
        <v>0.63677768959799597</v>
      </c>
      <c r="AJ74" s="20" t="str">
        <f t="shared" si="34"/>
        <v>Put</v>
      </c>
      <c r="AK74" s="20">
        <f t="shared" si="35"/>
        <v>94.699999679311986</v>
      </c>
      <c r="AL74" s="3">
        <f t="shared" si="36"/>
        <v>94.699999679311986</v>
      </c>
      <c r="AM74" s="3">
        <f t="shared" si="37"/>
        <v>94.7</v>
      </c>
      <c r="AN74" s="5">
        <f t="shared" si="38"/>
        <v>93.797071990000006</v>
      </c>
      <c r="AO74" s="5">
        <f t="shared" si="39"/>
        <v>3.2068801658624579E-7</v>
      </c>
      <c r="AP74" s="5">
        <f t="shared" si="40"/>
        <v>-0.31546999900849293</v>
      </c>
      <c r="AQ74" s="5">
        <f t="shared" si="41"/>
        <v>-0.34985886307229813</v>
      </c>
      <c r="AR74" s="5">
        <f t="shared" si="42"/>
        <v>94.7</v>
      </c>
      <c r="AS74" s="5">
        <f t="shared" si="43"/>
        <v>93.797071990000006</v>
      </c>
    </row>
    <row r="75" spans="1:45" x14ac:dyDescent="0.25">
      <c r="A75" s="1">
        <v>45322.666666666664</v>
      </c>
      <c r="B75">
        <v>20240216</v>
      </c>
      <c r="C75">
        <v>4663.5</v>
      </c>
      <c r="D75">
        <v>4648.2287960000003</v>
      </c>
      <c r="E75" t="s">
        <v>42</v>
      </c>
      <c r="F75">
        <v>4750</v>
      </c>
      <c r="G75">
        <v>10</v>
      </c>
      <c r="H75" t="s">
        <v>41</v>
      </c>
      <c r="I75" s="3">
        <v>12.4</v>
      </c>
      <c r="J75" s="3">
        <v>12.8</v>
      </c>
      <c r="K75" s="5">
        <v>12.465173679999999</v>
      </c>
      <c r="L75" s="5">
        <v>0.64329366399999999</v>
      </c>
      <c r="M75" s="5">
        <v>12.48685</v>
      </c>
      <c r="N75" s="5">
        <v>0.19622900900000001</v>
      </c>
      <c r="O75" s="5">
        <v>2.5662014960000001</v>
      </c>
      <c r="P75" s="5">
        <v>2.3780250000000002E-3</v>
      </c>
      <c r="Q75" s="5">
        <v>-1.5944339759999999</v>
      </c>
      <c r="R75">
        <v>0</v>
      </c>
      <c r="S75" t="b">
        <v>1</v>
      </c>
      <c r="T75" s="1">
        <v>45322.666666666664</v>
      </c>
      <c r="U75" s="1">
        <v>45338.666666666664</v>
      </c>
      <c r="V75" s="3">
        <f t="shared" si="22"/>
        <v>4.3835616438356165E-2</v>
      </c>
      <c r="W75">
        <v>3.7900000000000003E-2</v>
      </c>
      <c r="X75" s="7">
        <v>0.10323300000000001</v>
      </c>
      <c r="Y75" s="3">
        <f t="shared" si="23"/>
        <v>-1.8378378861768681E-2</v>
      </c>
      <c r="Z75" s="9">
        <f t="shared" si="24"/>
        <v>4.3228526144500005E-2</v>
      </c>
      <c r="AA75" s="3">
        <f t="shared" si="25"/>
        <v>4.3835616438356165E-2</v>
      </c>
      <c r="AB75" s="3">
        <f t="shared" si="26"/>
        <v>2.1613848720302212E-2</v>
      </c>
      <c r="AC75" s="3">
        <f t="shared" si="27"/>
        <v>-0.76263279084672198</v>
      </c>
      <c r="AD75" s="3">
        <f t="shared" si="28"/>
        <v>0.22284121151711661</v>
      </c>
      <c r="AE75" s="3">
        <f t="shared" si="29"/>
        <v>0.77715878848288344</v>
      </c>
      <c r="AF75" s="3">
        <f t="shared" si="30"/>
        <v>3.2571473855500001E-2</v>
      </c>
      <c r="AG75" s="3">
        <f t="shared" si="31"/>
        <v>-0.78424663956702423</v>
      </c>
      <c r="AH75" s="3">
        <f t="shared" si="32"/>
        <v>0.21644770158284479</v>
      </c>
      <c r="AI75" s="3">
        <f t="shared" si="33"/>
        <v>0.78355229841715524</v>
      </c>
      <c r="AJ75" s="20">
        <f t="shared" si="34"/>
        <v>12.800087804859913</v>
      </c>
      <c r="AK75" s="20" t="str">
        <f t="shared" si="35"/>
        <v>Call</v>
      </c>
      <c r="AL75" s="3">
        <f t="shared" si="36"/>
        <v>12.800087804859913</v>
      </c>
      <c r="AM75" s="3">
        <f t="shared" si="37"/>
        <v>12.8</v>
      </c>
      <c r="AN75" s="5">
        <f t="shared" si="38"/>
        <v>12.48685</v>
      </c>
      <c r="AO75" s="5">
        <f t="shared" si="39"/>
        <v>-8.7804859912665734E-5</v>
      </c>
      <c r="AP75" s="5">
        <f t="shared" si="40"/>
        <v>-0.76263279084672198</v>
      </c>
      <c r="AQ75" s="5">
        <f t="shared" si="41"/>
        <v>-0.78424663956702423</v>
      </c>
      <c r="AR75" s="5">
        <f t="shared" si="42"/>
        <v>12.8</v>
      </c>
      <c r="AS75" s="5">
        <f t="shared" si="43"/>
        <v>12.48685</v>
      </c>
    </row>
    <row r="76" spans="1:45" x14ac:dyDescent="0.25">
      <c r="A76" s="1">
        <v>45322.666666666664</v>
      </c>
      <c r="B76">
        <v>20240216</v>
      </c>
      <c r="C76">
        <v>4663.5</v>
      </c>
      <c r="D76">
        <v>4648.2287960000003</v>
      </c>
      <c r="E76" t="s">
        <v>40</v>
      </c>
      <c r="F76">
        <v>4750</v>
      </c>
      <c r="G76">
        <v>10</v>
      </c>
      <c r="H76" t="s">
        <v>41</v>
      </c>
      <c r="I76" s="3">
        <v>112.3</v>
      </c>
      <c r="J76" s="3">
        <v>114</v>
      </c>
      <c r="K76" s="5">
        <v>12.465173679999999</v>
      </c>
      <c r="L76" s="5">
        <v>0.64329366399999999</v>
      </c>
      <c r="M76" s="5">
        <v>113.1489894</v>
      </c>
      <c r="N76" s="5">
        <v>-0.79894474599999998</v>
      </c>
      <c r="O76" s="5">
        <v>2.5662014960000001</v>
      </c>
      <c r="P76" s="5">
        <v>2.3780250000000002E-3</v>
      </c>
      <c r="Q76" s="5">
        <v>-1.5944339759999999</v>
      </c>
      <c r="R76">
        <v>0</v>
      </c>
      <c r="S76" t="b">
        <v>1</v>
      </c>
      <c r="T76" s="1">
        <v>45322.666666666664</v>
      </c>
      <c r="U76" s="1">
        <v>45338.666666666664</v>
      </c>
      <c r="V76" s="3">
        <f t="shared" si="22"/>
        <v>4.3835616438356165E-2</v>
      </c>
      <c r="W76">
        <v>3.7900000000000003E-2</v>
      </c>
      <c r="X76" s="7">
        <v>0.17195099657991469</v>
      </c>
      <c r="Y76" s="3">
        <f t="shared" si="23"/>
        <v>-1.8378378861768681E-2</v>
      </c>
      <c r="Z76" s="9">
        <f t="shared" si="24"/>
        <v>5.2683572612412924E-2</v>
      </c>
      <c r="AA76" s="3">
        <f t="shared" si="25"/>
        <v>4.3835616438356165E-2</v>
      </c>
      <c r="AB76" s="3">
        <f t="shared" si="26"/>
        <v>3.6001306049262147E-2</v>
      </c>
      <c r="AC76" s="3">
        <f t="shared" si="27"/>
        <v>-0.44634386202936094</v>
      </c>
      <c r="AD76" s="3">
        <f t="shared" si="28"/>
        <v>0.32767443859930406</v>
      </c>
      <c r="AE76" s="3">
        <f t="shared" si="29"/>
        <v>0.67232556140069599</v>
      </c>
      <c r="AF76" s="3">
        <f t="shared" si="30"/>
        <v>2.3116427387587086E-2</v>
      </c>
      <c r="AG76" s="3">
        <f t="shared" si="31"/>
        <v>-0.4823451680786231</v>
      </c>
      <c r="AH76" s="3">
        <f t="shared" si="32"/>
        <v>0.31478038285405696</v>
      </c>
      <c r="AI76" s="3">
        <f t="shared" si="33"/>
        <v>0.68521961714594304</v>
      </c>
      <c r="AJ76" s="20" t="str">
        <f t="shared" si="34"/>
        <v>Put</v>
      </c>
      <c r="AK76" s="20">
        <f t="shared" si="35"/>
        <v>113.9999999209881</v>
      </c>
      <c r="AL76" s="3">
        <f t="shared" si="36"/>
        <v>113.9999999209881</v>
      </c>
      <c r="AM76" s="3">
        <f t="shared" si="37"/>
        <v>114</v>
      </c>
      <c r="AN76" s="5">
        <f t="shared" si="38"/>
        <v>113.1489894</v>
      </c>
      <c r="AO76" s="5">
        <f t="shared" si="39"/>
        <v>7.9011897469172254E-8</v>
      </c>
      <c r="AP76" s="5">
        <f t="shared" si="40"/>
        <v>-0.44634386202936094</v>
      </c>
      <c r="AQ76" s="5">
        <f t="shared" si="41"/>
        <v>-0.4823451680786231</v>
      </c>
      <c r="AR76" s="5">
        <f t="shared" si="42"/>
        <v>114</v>
      </c>
      <c r="AS76" s="5">
        <f t="shared" si="43"/>
        <v>113.1489894</v>
      </c>
    </row>
    <row r="77" spans="1:45" x14ac:dyDescent="0.25">
      <c r="A77" s="1">
        <v>45322.666666666664</v>
      </c>
      <c r="B77">
        <v>20240216</v>
      </c>
      <c r="C77">
        <v>4663.5</v>
      </c>
      <c r="D77">
        <v>4648.2287960000003</v>
      </c>
      <c r="E77" t="s">
        <v>42</v>
      </c>
      <c r="F77">
        <v>4775</v>
      </c>
      <c r="G77">
        <v>10</v>
      </c>
      <c r="H77" t="s">
        <v>41</v>
      </c>
      <c r="I77" s="3">
        <v>8.3000000000000007</v>
      </c>
      <c r="J77" s="3">
        <v>8.6999999999999993</v>
      </c>
      <c r="K77" s="5">
        <v>12.50033672</v>
      </c>
      <c r="L77" s="5">
        <v>0.64329366399999999</v>
      </c>
      <c r="M77" s="5">
        <v>8.4825640789999994</v>
      </c>
      <c r="N77" s="5">
        <v>0.14385741599999999</v>
      </c>
      <c r="O77" s="5">
        <v>2.1028059020000001</v>
      </c>
      <c r="P77" s="5">
        <v>1.900821E-3</v>
      </c>
      <c r="Q77" s="5">
        <v>-1.2816754319999999</v>
      </c>
      <c r="R77">
        <v>0</v>
      </c>
      <c r="S77" t="b">
        <v>1</v>
      </c>
      <c r="T77" s="1">
        <v>45322.666666666664</v>
      </c>
      <c r="U77" s="1">
        <v>45338.666666666664</v>
      </c>
      <c r="V77" s="3">
        <f t="shared" si="22"/>
        <v>4.3835616438356165E-2</v>
      </c>
      <c r="W77">
        <v>3.7900000000000003E-2</v>
      </c>
      <c r="X77" s="7">
        <v>0.105214</v>
      </c>
      <c r="Y77" s="3">
        <f t="shared" si="23"/>
        <v>-2.3627734747912386E-2</v>
      </c>
      <c r="Z77" s="9">
        <f t="shared" si="24"/>
        <v>4.3434992898000006E-2</v>
      </c>
      <c r="AA77" s="3">
        <f t="shared" si="25"/>
        <v>4.3835616438356165E-2</v>
      </c>
      <c r="AB77" s="3">
        <f t="shared" si="26"/>
        <v>2.2028609836562699E-2</v>
      </c>
      <c r="AC77" s="3">
        <f t="shared" si="27"/>
        <v>-0.98616005369418547</v>
      </c>
      <c r="AD77" s="3">
        <f t="shared" si="28"/>
        <v>0.16202728905852959</v>
      </c>
      <c r="AE77" s="3">
        <f t="shared" si="29"/>
        <v>0.83797271094147041</v>
      </c>
      <c r="AF77" s="3">
        <f t="shared" si="30"/>
        <v>3.2365007102E-2</v>
      </c>
      <c r="AG77" s="3">
        <f t="shared" si="31"/>
        <v>-1.0081886635307482</v>
      </c>
      <c r="AH77" s="3">
        <f t="shared" si="32"/>
        <v>0.15668194957150244</v>
      </c>
      <c r="AI77" s="3">
        <f t="shared" si="33"/>
        <v>0.84331805042849761</v>
      </c>
      <c r="AJ77" s="20">
        <f t="shared" si="34"/>
        <v>8.6998857252690414</v>
      </c>
      <c r="AK77" s="20" t="str">
        <f t="shared" si="35"/>
        <v>Call</v>
      </c>
      <c r="AL77" s="3">
        <f t="shared" si="36"/>
        <v>8.6998857252690414</v>
      </c>
      <c r="AM77" s="3">
        <f t="shared" si="37"/>
        <v>8.6999999999999993</v>
      </c>
      <c r="AN77" s="5">
        <f t="shared" si="38"/>
        <v>8.4825640789999994</v>
      </c>
      <c r="AO77" s="5">
        <f t="shared" si="39"/>
        <v>1.1427473095793061E-4</v>
      </c>
      <c r="AP77" s="5">
        <f t="shared" si="40"/>
        <v>-0.98616005369418547</v>
      </c>
      <c r="AQ77" s="5">
        <f t="shared" si="41"/>
        <v>-1.0081886635307482</v>
      </c>
      <c r="AR77" s="5">
        <f t="shared" si="42"/>
        <v>8.6999999999999993</v>
      </c>
      <c r="AS77" s="5">
        <f t="shared" si="43"/>
        <v>8.4825640789999994</v>
      </c>
    </row>
    <row r="78" spans="1:45" x14ac:dyDescent="0.25">
      <c r="A78" s="1">
        <v>45322.666666666664</v>
      </c>
      <c r="B78">
        <v>20240216</v>
      </c>
      <c r="C78">
        <v>4663.5</v>
      </c>
      <c r="D78">
        <v>4648.2287960000003</v>
      </c>
      <c r="E78" t="s">
        <v>40</v>
      </c>
      <c r="F78">
        <v>4775</v>
      </c>
      <c r="G78">
        <v>10</v>
      </c>
      <c r="H78" t="s">
        <v>41</v>
      </c>
      <c r="I78" s="3">
        <v>133.1</v>
      </c>
      <c r="J78" s="3">
        <v>134.9</v>
      </c>
      <c r="K78" s="5">
        <v>12.50033672</v>
      </c>
      <c r="L78" s="5">
        <v>0.64329366399999999</v>
      </c>
      <c r="M78" s="5">
        <v>134.1007821</v>
      </c>
      <c r="N78" s="5">
        <v>-0.85131633900000003</v>
      </c>
      <c r="O78" s="5">
        <v>2.1028059020000001</v>
      </c>
      <c r="P78" s="5">
        <v>1.900821E-3</v>
      </c>
      <c r="Q78" s="5">
        <v>-1.2816754319999999</v>
      </c>
      <c r="R78">
        <v>0</v>
      </c>
      <c r="S78" t="b">
        <v>1</v>
      </c>
      <c r="T78" s="1">
        <v>45322.666666666664</v>
      </c>
      <c r="U78" s="1">
        <v>45338.666666666664</v>
      </c>
      <c r="V78" s="3">
        <f t="shared" si="22"/>
        <v>4.3835616438356165E-2</v>
      </c>
      <c r="W78">
        <v>3.7900000000000003E-2</v>
      </c>
      <c r="X78" s="7">
        <v>0.18154511298635442</v>
      </c>
      <c r="Y78" s="3">
        <f t="shared" si="23"/>
        <v>-2.3627734747912386E-2</v>
      </c>
      <c r="Z78" s="9">
        <f t="shared" si="24"/>
        <v>5.43793140246141E-2</v>
      </c>
      <c r="AA78" s="3">
        <f t="shared" si="25"/>
        <v>4.3835616438356165E-2</v>
      </c>
      <c r="AB78" s="3">
        <f t="shared" si="26"/>
        <v>3.801002206656047E-2</v>
      </c>
      <c r="AC78" s="3">
        <f t="shared" si="27"/>
        <v>-0.55890480565750567</v>
      </c>
      <c r="AD78" s="3">
        <f t="shared" si="28"/>
        <v>0.28811334475490935</v>
      </c>
      <c r="AE78" s="3">
        <f t="shared" si="29"/>
        <v>0.71188665524509065</v>
      </c>
      <c r="AF78" s="3">
        <f t="shared" si="30"/>
        <v>2.1420685975385906E-2</v>
      </c>
      <c r="AG78" s="3">
        <f t="shared" si="31"/>
        <v>-0.59691482772406612</v>
      </c>
      <c r="AH78" s="3">
        <f t="shared" si="32"/>
        <v>0.27528212352913345</v>
      </c>
      <c r="AI78" s="3">
        <f t="shared" si="33"/>
        <v>0.72471787647086661</v>
      </c>
      <c r="AJ78" s="20" t="str">
        <f t="shared" si="34"/>
        <v>Put</v>
      </c>
      <c r="AK78" s="20">
        <f t="shared" si="35"/>
        <v>134.89999985993109</v>
      </c>
      <c r="AL78" s="3">
        <f t="shared" si="36"/>
        <v>134.89999985993109</v>
      </c>
      <c r="AM78" s="3">
        <f t="shared" si="37"/>
        <v>134.9</v>
      </c>
      <c r="AN78" s="5">
        <f t="shared" si="38"/>
        <v>134.1007821</v>
      </c>
      <c r="AO78" s="5">
        <f t="shared" si="39"/>
        <v>1.4006892001816595E-7</v>
      </c>
      <c r="AP78" s="5">
        <f t="shared" si="40"/>
        <v>-0.55890480565750567</v>
      </c>
      <c r="AQ78" s="5">
        <f t="shared" si="41"/>
        <v>-0.59691482772406612</v>
      </c>
      <c r="AR78" s="5">
        <f t="shared" si="42"/>
        <v>134.9</v>
      </c>
      <c r="AS78" s="5">
        <f t="shared" si="43"/>
        <v>134.1007821</v>
      </c>
    </row>
    <row r="79" spans="1:45" x14ac:dyDescent="0.25">
      <c r="A79" s="1">
        <v>45322.666666666664</v>
      </c>
      <c r="B79">
        <v>20240216</v>
      </c>
      <c r="C79">
        <v>4663.5</v>
      </c>
      <c r="D79">
        <v>4648.2287960000003</v>
      </c>
      <c r="E79" t="s">
        <v>42</v>
      </c>
      <c r="F79">
        <v>4800</v>
      </c>
      <c r="G79">
        <v>10</v>
      </c>
      <c r="H79" t="s">
        <v>41</v>
      </c>
      <c r="I79" s="3">
        <v>5.5</v>
      </c>
      <c r="J79" s="3">
        <v>5.9</v>
      </c>
      <c r="K79" s="5">
        <v>12.599516339999999</v>
      </c>
      <c r="L79" s="5">
        <v>0.64329366399999999</v>
      </c>
      <c r="M79" s="5">
        <v>5.7154668969999998</v>
      </c>
      <c r="N79" s="5">
        <v>0.103407244</v>
      </c>
      <c r="O79" s="5">
        <v>1.6684081239999999</v>
      </c>
      <c r="P79" s="5">
        <v>1.4481800000000001E-3</v>
      </c>
      <c r="Q79" s="5">
        <v>-0.99202761800000006</v>
      </c>
      <c r="R79">
        <v>0</v>
      </c>
      <c r="S79" t="b">
        <v>1</v>
      </c>
      <c r="T79" s="1">
        <v>45322.666666666664</v>
      </c>
      <c r="U79" s="1">
        <v>45338.666666666664</v>
      </c>
      <c r="V79" s="3">
        <f t="shared" si="22"/>
        <v>4.3835616438356165E-2</v>
      </c>
      <c r="W79">
        <v>3.7900000000000003E-2</v>
      </c>
      <c r="X79" s="7">
        <v>0.10764700000000001</v>
      </c>
      <c r="Y79" s="3">
        <f t="shared" si="23"/>
        <v>-2.8849678729064108E-2</v>
      </c>
      <c r="Z79" s="9">
        <f t="shared" si="24"/>
        <v>4.3693938304500003E-2</v>
      </c>
      <c r="AA79" s="3">
        <f t="shared" si="25"/>
        <v>4.3835616438356165E-2</v>
      </c>
      <c r="AB79" s="3">
        <f t="shared" si="26"/>
        <v>2.2538005998027494E-2</v>
      </c>
      <c r="AC79" s="3">
        <f t="shared" si="27"/>
        <v>-1.1950625983161118</v>
      </c>
      <c r="AD79" s="3">
        <f t="shared" si="28"/>
        <v>0.11603128679462862</v>
      </c>
      <c r="AE79" s="3">
        <f t="shared" si="29"/>
        <v>0.8839687132053714</v>
      </c>
      <c r="AF79" s="3">
        <f t="shared" si="30"/>
        <v>3.2106061695500003E-2</v>
      </c>
      <c r="AG79" s="3">
        <f t="shared" si="31"/>
        <v>-1.2176006043141392</v>
      </c>
      <c r="AH79" s="3">
        <f t="shared" si="32"/>
        <v>0.11168789233978656</v>
      </c>
      <c r="AI79" s="3">
        <f t="shared" si="33"/>
        <v>0.8883121076602134</v>
      </c>
      <c r="AJ79" s="20">
        <f t="shared" si="34"/>
        <v>5.8999467968785666</v>
      </c>
      <c r="AK79" s="20" t="str">
        <f t="shared" si="35"/>
        <v>Call</v>
      </c>
      <c r="AL79" s="3">
        <f t="shared" si="36"/>
        <v>5.8999467968785666</v>
      </c>
      <c r="AM79" s="3">
        <f t="shared" si="37"/>
        <v>5.9</v>
      </c>
      <c r="AN79" s="5">
        <f t="shared" si="38"/>
        <v>5.7154668969999998</v>
      </c>
      <c r="AO79" s="5">
        <f t="shared" si="39"/>
        <v>5.3203121433753608E-5</v>
      </c>
      <c r="AP79" s="5">
        <f t="shared" si="40"/>
        <v>-1.1950625983161118</v>
      </c>
      <c r="AQ79" s="5">
        <f t="shared" si="41"/>
        <v>-1.2176006043141392</v>
      </c>
      <c r="AR79" s="5">
        <f t="shared" si="42"/>
        <v>5.9</v>
      </c>
      <c r="AS79" s="5">
        <f t="shared" si="43"/>
        <v>5.7154668969999998</v>
      </c>
    </row>
    <row r="80" spans="1:45" x14ac:dyDescent="0.25">
      <c r="A80" s="1">
        <v>45322.666666666664</v>
      </c>
      <c r="B80">
        <v>20240216</v>
      </c>
      <c r="C80">
        <v>4663.5</v>
      </c>
      <c r="D80">
        <v>4648.2287960000003</v>
      </c>
      <c r="E80" t="s">
        <v>40</v>
      </c>
      <c r="F80">
        <v>4800</v>
      </c>
      <c r="G80">
        <v>10</v>
      </c>
      <c r="H80" t="s">
        <v>41</v>
      </c>
      <c r="I80" s="3">
        <v>155.1</v>
      </c>
      <c r="J80" s="3">
        <v>157.1</v>
      </c>
      <c r="K80" s="5">
        <v>12.599516339999999</v>
      </c>
      <c r="L80" s="5">
        <v>0.64329366399999999</v>
      </c>
      <c r="M80" s="5">
        <v>156.28976359999999</v>
      </c>
      <c r="N80" s="5">
        <v>-0.89176650999999996</v>
      </c>
      <c r="O80" s="5">
        <v>1.6684081239999999</v>
      </c>
      <c r="P80" s="5">
        <v>1.4481800000000001E-3</v>
      </c>
      <c r="Q80" s="5">
        <v>-0.99202761800000006</v>
      </c>
      <c r="R80">
        <v>0</v>
      </c>
      <c r="S80" t="b">
        <v>1</v>
      </c>
      <c r="T80" s="1">
        <v>45322.666666666664</v>
      </c>
      <c r="U80" s="1">
        <v>45338.666666666664</v>
      </c>
      <c r="V80" s="3">
        <f t="shared" si="22"/>
        <v>4.3835616438356165E-2</v>
      </c>
      <c r="W80">
        <v>3.7900000000000003E-2</v>
      </c>
      <c r="X80" s="7">
        <v>0.19300116185992069</v>
      </c>
      <c r="Y80" s="3">
        <f t="shared" si="23"/>
        <v>-2.8849678729064108E-2</v>
      </c>
      <c r="Z80" s="9">
        <f t="shared" si="24"/>
        <v>5.6524724239639654E-2</v>
      </c>
      <c r="AA80" s="3">
        <f t="shared" si="25"/>
        <v>4.3835616438356165E-2</v>
      </c>
      <c r="AB80" s="3">
        <f t="shared" si="26"/>
        <v>4.0408570082075372E-2</v>
      </c>
      <c r="AC80" s="3">
        <f t="shared" si="27"/>
        <v>-0.6526309281532725</v>
      </c>
      <c r="AD80" s="3">
        <f t="shared" si="28"/>
        <v>0.25699712084909077</v>
      </c>
      <c r="AE80" s="3">
        <f t="shared" si="29"/>
        <v>0.74300287915090923</v>
      </c>
      <c r="AF80" s="3">
        <f t="shared" si="30"/>
        <v>1.9275275760360349E-2</v>
      </c>
      <c r="AG80" s="3">
        <f t="shared" si="31"/>
        <v>-0.69303949823534794</v>
      </c>
      <c r="AH80" s="3">
        <f t="shared" si="32"/>
        <v>0.2441423821645341</v>
      </c>
      <c r="AI80" s="3">
        <f t="shared" si="33"/>
        <v>0.7558576178354659</v>
      </c>
      <c r="AJ80" s="20" t="str">
        <f t="shared" si="34"/>
        <v>Put</v>
      </c>
      <c r="AK80" s="20">
        <f t="shared" si="35"/>
        <v>157.09999946929611</v>
      </c>
      <c r="AL80" s="3">
        <f t="shared" si="36"/>
        <v>157.09999946929611</v>
      </c>
      <c r="AM80" s="3">
        <f t="shared" si="37"/>
        <v>157.1</v>
      </c>
      <c r="AN80" s="5">
        <f t="shared" si="38"/>
        <v>156.28976359999999</v>
      </c>
      <c r="AO80" s="5">
        <f t="shared" si="39"/>
        <v>5.3070388617015851E-7</v>
      </c>
      <c r="AP80" s="5">
        <f t="shared" si="40"/>
        <v>-0.6526309281532725</v>
      </c>
      <c r="AQ80" s="5">
        <f t="shared" si="41"/>
        <v>-0.69303949823534794</v>
      </c>
      <c r="AR80" s="5">
        <f t="shared" si="42"/>
        <v>157.1</v>
      </c>
      <c r="AS80" s="5">
        <f t="shared" si="43"/>
        <v>156.28976359999999</v>
      </c>
    </row>
    <row r="81" spans="1:45" x14ac:dyDescent="0.25">
      <c r="A81" s="1">
        <v>45322.666666666664</v>
      </c>
      <c r="B81">
        <v>20240216</v>
      </c>
      <c r="C81">
        <v>4663.5</v>
      </c>
      <c r="D81">
        <v>4648.2287960000003</v>
      </c>
      <c r="E81" t="s">
        <v>42</v>
      </c>
      <c r="F81">
        <v>4825</v>
      </c>
      <c r="G81">
        <v>10</v>
      </c>
      <c r="H81" t="s">
        <v>41</v>
      </c>
      <c r="I81" s="3">
        <v>3.6</v>
      </c>
      <c r="J81" s="3">
        <v>4</v>
      </c>
      <c r="K81" s="5">
        <v>12.761714769999999</v>
      </c>
      <c r="L81" s="5">
        <v>0.64329366399999999</v>
      </c>
      <c r="M81" s="5">
        <v>3.853436276</v>
      </c>
      <c r="N81" s="5">
        <v>7.3507539999999996E-2</v>
      </c>
      <c r="O81" s="5">
        <v>1.2935305479999999</v>
      </c>
      <c r="P81" s="5">
        <v>1.0600609999999999E-3</v>
      </c>
      <c r="Q81" s="5">
        <v>-0.74497594199999995</v>
      </c>
      <c r="R81">
        <v>0</v>
      </c>
      <c r="S81" t="b">
        <v>1</v>
      </c>
      <c r="T81" s="1">
        <v>45322.666666666664</v>
      </c>
      <c r="U81" s="1">
        <v>45338.666666666664</v>
      </c>
      <c r="V81" s="3">
        <f t="shared" si="22"/>
        <v>4.3835616438356165E-2</v>
      </c>
      <c r="W81">
        <v>3.7900000000000003E-2</v>
      </c>
      <c r="X81" s="7">
        <v>0.110345</v>
      </c>
      <c r="Y81" s="3">
        <f t="shared" si="23"/>
        <v>-3.4044495606168082E-2</v>
      </c>
      <c r="Z81" s="9">
        <f t="shared" si="24"/>
        <v>4.3988009512500002E-2</v>
      </c>
      <c r="AA81" s="3">
        <f t="shared" si="25"/>
        <v>4.3835616438356165E-2</v>
      </c>
      <c r="AB81" s="3">
        <f t="shared" si="26"/>
        <v>2.3102885095286851E-2</v>
      </c>
      <c r="AC81" s="3">
        <f t="shared" si="27"/>
        <v>-1.3901404071755223</v>
      </c>
      <c r="AD81" s="3">
        <f t="shared" si="28"/>
        <v>8.2243122624044818E-2</v>
      </c>
      <c r="AE81" s="3">
        <f t="shared" si="29"/>
        <v>0.91775687737595524</v>
      </c>
      <c r="AF81" s="3">
        <f t="shared" si="30"/>
        <v>3.1811990487500004E-2</v>
      </c>
      <c r="AG81" s="3">
        <f t="shared" si="31"/>
        <v>-1.4132432922708091</v>
      </c>
      <c r="AH81" s="3">
        <f t="shared" si="32"/>
        <v>7.8792100669734827E-2</v>
      </c>
      <c r="AI81" s="3">
        <f t="shared" si="33"/>
        <v>0.92120789933026515</v>
      </c>
      <c r="AJ81" s="20">
        <f t="shared" si="34"/>
        <v>3.9999983642344432</v>
      </c>
      <c r="AK81" s="20" t="str">
        <f t="shared" si="35"/>
        <v>Call</v>
      </c>
      <c r="AL81" s="3">
        <f t="shared" si="36"/>
        <v>3.9999983642344432</v>
      </c>
      <c r="AM81" s="3">
        <f t="shared" si="37"/>
        <v>4</v>
      </c>
      <c r="AN81" s="5">
        <f t="shared" si="38"/>
        <v>3.853436276</v>
      </c>
      <c r="AO81" s="5">
        <f t="shared" si="39"/>
        <v>1.6357655567844631E-6</v>
      </c>
      <c r="AP81" s="5">
        <f t="shared" si="40"/>
        <v>-1.3901404071755223</v>
      </c>
      <c r="AQ81" s="5">
        <f t="shared" si="41"/>
        <v>-1.4132432922708091</v>
      </c>
      <c r="AR81" s="5">
        <f t="shared" si="42"/>
        <v>4</v>
      </c>
      <c r="AS81" s="5">
        <f t="shared" si="43"/>
        <v>3.853436276</v>
      </c>
    </row>
    <row r="82" spans="1:45" x14ac:dyDescent="0.25">
      <c r="A82" s="1">
        <v>45322.666666666664</v>
      </c>
      <c r="B82">
        <v>20240216</v>
      </c>
      <c r="C82">
        <v>4663.5</v>
      </c>
      <c r="D82">
        <v>4648.2287960000003</v>
      </c>
      <c r="E82" t="s">
        <v>40</v>
      </c>
      <c r="F82">
        <v>4825</v>
      </c>
      <c r="G82">
        <v>10</v>
      </c>
      <c r="H82" t="s">
        <v>41</v>
      </c>
      <c r="I82" s="3">
        <v>178.2</v>
      </c>
      <c r="J82" s="3">
        <v>180.2</v>
      </c>
      <c r="K82" s="5">
        <v>12.761714769999999</v>
      </c>
      <c r="L82" s="5">
        <v>0.64329366399999999</v>
      </c>
      <c r="M82" s="5">
        <v>179.3838116</v>
      </c>
      <c r="N82" s="5">
        <v>-0.92166621500000001</v>
      </c>
      <c r="O82" s="5">
        <v>1.2935305479999999</v>
      </c>
      <c r="P82" s="5">
        <v>1.0600609999999999E-3</v>
      </c>
      <c r="Q82" s="5">
        <v>-0.74497594199999995</v>
      </c>
      <c r="R82">
        <v>0</v>
      </c>
      <c r="S82" t="b">
        <v>1</v>
      </c>
      <c r="T82" s="1">
        <v>45322.666666666664</v>
      </c>
      <c r="U82" s="1">
        <v>45338.666666666664</v>
      </c>
      <c r="V82" s="3">
        <f t="shared" si="22"/>
        <v>4.3835616438356165E-2</v>
      </c>
      <c r="W82">
        <v>3.7900000000000003E-2</v>
      </c>
      <c r="X82" s="7">
        <v>0.20579219531327586</v>
      </c>
      <c r="Y82" s="3">
        <f t="shared" si="23"/>
        <v>-3.4044495606168082E-2</v>
      </c>
      <c r="Z82" s="9">
        <f t="shared" si="24"/>
        <v>5.9075213825928743E-2</v>
      </c>
      <c r="AA82" s="3">
        <f t="shared" si="25"/>
        <v>4.3835616438356165E-2</v>
      </c>
      <c r="AB82" s="3">
        <f t="shared" si="26"/>
        <v>4.3086623243730499E-2</v>
      </c>
      <c r="AC82" s="3">
        <f t="shared" si="27"/>
        <v>-0.7300385786546354</v>
      </c>
      <c r="AD82" s="3">
        <f t="shared" si="28"/>
        <v>0.2326833017726273</v>
      </c>
      <c r="AE82" s="3">
        <f t="shared" si="29"/>
        <v>0.7673166982273727</v>
      </c>
      <c r="AF82" s="3">
        <f t="shared" si="30"/>
        <v>1.6724786174071263E-2</v>
      </c>
      <c r="AG82" s="3">
        <f t="shared" si="31"/>
        <v>-0.77312520189836598</v>
      </c>
      <c r="AH82" s="3">
        <f t="shared" si="32"/>
        <v>0.21972414373422619</v>
      </c>
      <c r="AI82" s="3">
        <f t="shared" si="33"/>
        <v>0.78027585626577378</v>
      </c>
      <c r="AJ82" s="20" t="str">
        <f t="shared" si="34"/>
        <v>Put</v>
      </c>
      <c r="AK82" s="20">
        <f t="shared" si="35"/>
        <v>180.20000039815341</v>
      </c>
      <c r="AL82" s="3">
        <f t="shared" si="36"/>
        <v>180.20000039815341</v>
      </c>
      <c r="AM82" s="3">
        <f t="shared" si="37"/>
        <v>180.2</v>
      </c>
      <c r="AN82" s="5">
        <f t="shared" si="38"/>
        <v>179.3838116</v>
      </c>
      <c r="AO82" s="5">
        <f t="shared" si="39"/>
        <v>-3.9815341779103619E-7</v>
      </c>
      <c r="AP82" s="5">
        <f t="shared" si="40"/>
        <v>-0.7300385786546354</v>
      </c>
      <c r="AQ82" s="5">
        <f t="shared" si="41"/>
        <v>-0.77312520189836598</v>
      </c>
      <c r="AR82" s="5">
        <f t="shared" si="42"/>
        <v>180.2</v>
      </c>
      <c r="AS82" s="5">
        <f t="shared" si="43"/>
        <v>179.3838116</v>
      </c>
    </row>
    <row r="83" spans="1:45" x14ac:dyDescent="0.25">
      <c r="A83" s="1">
        <v>45322.666666666664</v>
      </c>
      <c r="B83">
        <v>20240216</v>
      </c>
      <c r="C83">
        <v>4663.5</v>
      </c>
      <c r="D83">
        <v>4648.2287960000003</v>
      </c>
      <c r="E83" t="s">
        <v>42</v>
      </c>
      <c r="F83">
        <v>4850</v>
      </c>
      <c r="G83">
        <v>10</v>
      </c>
      <c r="H83" t="s">
        <v>41</v>
      </c>
      <c r="I83" s="3">
        <v>2.4</v>
      </c>
      <c r="J83" s="3">
        <v>2.7</v>
      </c>
      <c r="K83" s="5">
        <v>12.987671560000001</v>
      </c>
      <c r="L83" s="5">
        <v>0.64329366399999999</v>
      </c>
      <c r="M83" s="5">
        <v>2.6252841039999999</v>
      </c>
      <c r="N83" s="5">
        <v>5.2178297999999998E-2</v>
      </c>
      <c r="O83" s="5">
        <v>0.99020850999999999</v>
      </c>
      <c r="P83" s="5">
        <v>7.5202299999999999E-4</v>
      </c>
      <c r="Q83" s="5">
        <v>-0.54737740000000001</v>
      </c>
      <c r="R83">
        <v>0</v>
      </c>
      <c r="S83" t="b">
        <v>1</v>
      </c>
      <c r="T83" s="1">
        <v>45322.666666666664</v>
      </c>
      <c r="U83" s="1">
        <v>45338.666666666664</v>
      </c>
      <c r="V83" s="3">
        <f t="shared" si="22"/>
        <v>4.3835616438356165E-2</v>
      </c>
      <c r="W83">
        <v>3.7900000000000003E-2</v>
      </c>
      <c r="X83" s="7">
        <v>0.1130645847033286</v>
      </c>
      <c r="Y83" s="3">
        <f t="shared" si="23"/>
        <v>-3.9212465764610731E-2</v>
      </c>
      <c r="Z83" s="9">
        <f t="shared" si="24"/>
        <v>4.4291800157068087E-2</v>
      </c>
      <c r="AA83" s="3">
        <f t="shared" si="25"/>
        <v>4.3835616438356165E-2</v>
      </c>
      <c r="AB83" s="3">
        <f t="shared" si="26"/>
        <v>2.3672283372579889E-2</v>
      </c>
      <c r="AC83" s="3">
        <f t="shared" si="27"/>
        <v>-1.5744534152008698</v>
      </c>
      <c r="AD83" s="3">
        <f t="shared" si="28"/>
        <v>5.7691331620509947E-2</v>
      </c>
      <c r="AE83" s="3">
        <f t="shared" si="29"/>
        <v>0.94230866837949001</v>
      </c>
      <c r="AF83" s="3">
        <f t="shared" si="30"/>
        <v>3.1508199842931919E-2</v>
      </c>
      <c r="AG83" s="3">
        <f t="shared" si="31"/>
        <v>-1.5981256985734498</v>
      </c>
      <c r="AH83" s="3">
        <f t="shared" si="32"/>
        <v>5.5007502700514521E-2</v>
      </c>
      <c r="AI83" s="3">
        <f t="shared" si="33"/>
        <v>0.94499249729948542</v>
      </c>
      <c r="AJ83" s="20">
        <f t="shared" si="34"/>
        <v>2.6999997984120228</v>
      </c>
      <c r="AK83" s="20" t="str">
        <f t="shared" si="35"/>
        <v>Call</v>
      </c>
      <c r="AL83" s="3">
        <f t="shared" si="36"/>
        <v>2.6999997984120228</v>
      </c>
      <c r="AM83" s="3">
        <f t="shared" si="37"/>
        <v>2.7</v>
      </c>
      <c r="AN83" s="5">
        <f t="shared" si="38"/>
        <v>2.6252841039999999</v>
      </c>
      <c r="AO83" s="5">
        <f t="shared" si="39"/>
        <v>2.0158797742197976E-7</v>
      </c>
      <c r="AP83" s="5">
        <f t="shared" si="40"/>
        <v>-1.5744534152008698</v>
      </c>
      <c r="AQ83" s="5">
        <f t="shared" si="41"/>
        <v>-1.5981256985734498</v>
      </c>
      <c r="AR83" s="5">
        <f t="shared" si="42"/>
        <v>2.7</v>
      </c>
      <c r="AS83" s="5">
        <f t="shared" si="43"/>
        <v>2.6252841039999999</v>
      </c>
    </row>
    <row r="84" spans="1:45" x14ac:dyDescent="0.25">
      <c r="A84" s="1">
        <v>45322.666666666664</v>
      </c>
      <c r="B84">
        <v>20240216</v>
      </c>
      <c r="C84">
        <v>4663.5</v>
      </c>
      <c r="D84">
        <v>4648.2287960000003</v>
      </c>
      <c r="E84" t="s">
        <v>40</v>
      </c>
      <c r="F84">
        <v>4850</v>
      </c>
      <c r="G84">
        <v>10</v>
      </c>
      <c r="H84" t="s">
        <v>41</v>
      </c>
      <c r="I84" s="3">
        <v>201.9</v>
      </c>
      <c r="J84" s="3">
        <v>203.9</v>
      </c>
      <c r="K84" s="5">
        <v>12.987671560000001</v>
      </c>
      <c r="L84" s="5">
        <v>0.64329366399999999</v>
      </c>
      <c r="M84" s="5">
        <v>203.1117381</v>
      </c>
      <c r="N84" s="5">
        <v>-0.94299545699999998</v>
      </c>
      <c r="O84" s="5">
        <v>0.99020850999999999</v>
      </c>
      <c r="P84" s="5">
        <v>7.5202299999999999E-4</v>
      </c>
      <c r="Q84" s="5">
        <v>-0.54737740000000001</v>
      </c>
      <c r="R84">
        <v>0</v>
      </c>
      <c r="S84" t="b">
        <v>1</v>
      </c>
      <c r="T84" s="1">
        <v>45322.666666666664</v>
      </c>
      <c r="U84" s="1">
        <v>45338.666666666664</v>
      </c>
      <c r="V84" s="3">
        <f t="shared" si="22"/>
        <v>4.3835616438356165E-2</v>
      </c>
      <c r="W84">
        <v>3.7900000000000003E-2</v>
      </c>
      <c r="X84" s="7">
        <v>0.21945031476429627</v>
      </c>
      <c r="Y84" s="3">
        <f t="shared" si="23"/>
        <v>-3.9212465764610731E-2</v>
      </c>
      <c r="Z84" s="9">
        <f t="shared" si="24"/>
        <v>6.1979220325074358E-2</v>
      </c>
      <c r="AA84" s="3">
        <f t="shared" si="25"/>
        <v>4.3835616438356165E-2</v>
      </c>
      <c r="AB84" s="3">
        <f t="shared" si="26"/>
        <v>4.5946217827034015E-2</v>
      </c>
      <c r="AC84" s="3">
        <f t="shared" si="27"/>
        <v>-0.79431061274033743</v>
      </c>
      <c r="AD84" s="3">
        <f t="shared" si="28"/>
        <v>0.21350731361315173</v>
      </c>
      <c r="AE84" s="3">
        <f t="shared" si="29"/>
        <v>0.78649268638684822</v>
      </c>
      <c r="AF84" s="3">
        <f t="shared" si="30"/>
        <v>1.3820779674925648E-2</v>
      </c>
      <c r="AG84" s="3">
        <f t="shared" si="31"/>
        <v>-0.84025683056737144</v>
      </c>
      <c r="AH84" s="3">
        <f t="shared" si="32"/>
        <v>0.20038220016733471</v>
      </c>
      <c r="AI84" s="3">
        <f t="shared" si="33"/>
        <v>0.79961779983266523</v>
      </c>
      <c r="AJ84" s="20" t="str">
        <f t="shared" si="34"/>
        <v>Put</v>
      </c>
      <c r="AK84" s="20">
        <f t="shared" si="35"/>
        <v>203.89999995741164</v>
      </c>
      <c r="AL84" s="3">
        <f t="shared" si="36"/>
        <v>203.89999995741164</v>
      </c>
      <c r="AM84" s="3">
        <f t="shared" si="37"/>
        <v>203.9</v>
      </c>
      <c r="AN84" s="5">
        <f t="shared" si="38"/>
        <v>203.1117381</v>
      </c>
      <c r="AO84" s="5">
        <f t="shared" si="39"/>
        <v>4.2588368387441733E-8</v>
      </c>
      <c r="AP84" s="5">
        <f t="shared" si="40"/>
        <v>-0.79431061274033743</v>
      </c>
      <c r="AQ84" s="5">
        <f t="shared" si="41"/>
        <v>-0.84025683056737144</v>
      </c>
      <c r="AR84" s="5">
        <f t="shared" si="42"/>
        <v>203.9</v>
      </c>
      <c r="AS84" s="5">
        <f t="shared" si="43"/>
        <v>203.1117381</v>
      </c>
    </row>
    <row r="85" spans="1:45" x14ac:dyDescent="0.25">
      <c r="A85" s="1">
        <v>45322.666666666664</v>
      </c>
      <c r="B85">
        <v>20240216</v>
      </c>
      <c r="C85">
        <v>4663.5</v>
      </c>
      <c r="D85">
        <v>4648.2287960000003</v>
      </c>
      <c r="E85" t="s">
        <v>42</v>
      </c>
      <c r="F85">
        <v>4875</v>
      </c>
      <c r="G85">
        <v>10</v>
      </c>
      <c r="H85" t="s">
        <v>41</v>
      </c>
      <c r="I85" s="3">
        <v>1.7</v>
      </c>
      <c r="J85" s="3">
        <v>1.9</v>
      </c>
      <c r="K85" s="5">
        <v>13.2781094</v>
      </c>
      <c r="L85" s="5">
        <v>0.64329366399999999</v>
      </c>
      <c r="M85" s="5">
        <v>1.824940851</v>
      </c>
      <c r="N85" s="5">
        <v>3.7352312999999998E-2</v>
      </c>
      <c r="O85" s="5">
        <v>0.75642984300000005</v>
      </c>
      <c r="P85" s="5">
        <v>5.2218000000000002E-4</v>
      </c>
      <c r="Q85" s="5">
        <v>-0.397270493</v>
      </c>
      <c r="R85">
        <v>0</v>
      </c>
      <c r="S85" t="b">
        <v>1</v>
      </c>
      <c r="T85" s="1">
        <v>45322.666666666664</v>
      </c>
      <c r="U85" s="1">
        <v>45338.666666666664</v>
      </c>
      <c r="V85" s="3">
        <f t="shared" si="22"/>
        <v>4.3835616438356165E-2</v>
      </c>
      <c r="W85">
        <v>3.7900000000000003E-2</v>
      </c>
      <c r="X85" s="7">
        <v>0.11675527886792067</v>
      </c>
      <c r="Y85" s="3">
        <f t="shared" si="23"/>
        <v>-4.4353865265029324E-2</v>
      </c>
      <c r="Z85" s="9">
        <f t="shared" si="24"/>
        <v>4.4715897571762961E-2</v>
      </c>
      <c r="AA85" s="3">
        <f t="shared" si="25"/>
        <v>4.3835616438356165E-2</v>
      </c>
      <c r="AB85" s="3">
        <f t="shared" si="26"/>
        <v>2.444500241926453E-2</v>
      </c>
      <c r="AC85" s="3">
        <f t="shared" si="27"/>
        <v>-1.7342488089494814</v>
      </c>
      <c r="AD85" s="3">
        <f t="shared" si="28"/>
        <v>4.1436973043867786E-2</v>
      </c>
      <c r="AE85" s="3">
        <f t="shared" si="29"/>
        <v>0.95856302695613227</v>
      </c>
      <c r="AF85" s="3">
        <f t="shared" si="30"/>
        <v>3.1084102428237042E-2</v>
      </c>
      <c r="AG85" s="3">
        <f t="shared" si="31"/>
        <v>-1.7586938113687458</v>
      </c>
      <c r="AH85" s="3">
        <f t="shared" si="32"/>
        <v>3.9314764555532837E-2</v>
      </c>
      <c r="AI85" s="3">
        <f t="shared" si="33"/>
        <v>0.96068523544446716</v>
      </c>
      <c r="AJ85" s="20">
        <f t="shared" si="34"/>
        <v>1.8999995032326922</v>
      </c>
      <c r="AK85" s="20" t="str">
        <f t="shared" si="35"/>
        <v>Call</v>
      </c>
      <c r="AL85" s="3">
        <f t="shared" si="36"/>
        <v>1.8999995032326922</v>
      </c>
      <c r="AM85" s="3">
        <f t="shared" si="37"/>
        <v>1.9</v>
      </c>
      <c r="AN85" s="5">
        <f t="shared" si="38"/>
        <v>1.824940851</v>
      </c>
      <c r="AO85" s="5">
        <f t="shared" si="39"/>
        <v>4.9676730773384747E-7</v>
      </c>
      <c r="AP85" s="5">
        <f t="shared" si="40"/>
        <v>-1.7342488089494814</v>
      </c>
      <c r="AQ85" s="5">
        <f t="shared" si="41"/>
        <v>-1.7586938113687458</v>
      </c>
      <c r="AR85" s="5">
        <f t="shared" si="42"/>
        <v>1.9</v>
      </c>
      <c r="AS85" s="5">
        <f t="shared" si="43"/>
        <v>1.824940851</v>
      </c>
    </row>
    <row r="86" spans="1:45" x14ac:dyDescent="0.25">
      <c r="A86" s="1">
        <v>45322.666666666664</v>
      </c>
      <c r="B86">
        <v>20240216</v>
      </c>
      <c r="C86">
        <v>4663.5</v>
      </c>
      <c r="D86">
        <v>4648.2287960000003</v>
      </c>
      <c r="E86" t="s">
        <v>40</v>
      </c>
      <c r="F86">
        <v>4875</v>
      </c>
      <c r="G86">
        <v>10</v>
      </c>
      <c r="H86" t="s">
        <v>41</v>
      </c>
      <c r="I86" s="3">
        <v>226</v>
      </c>
      <c r="J86" s="3">
        <v>228.1</v>
      </c>
      <c r="K86" s="5">
        <v>13.2781094</v>
      </c>
      <c r="L86" s="5">
        <v>0.64329366399999999</v>
      </c>
      <c r="M86" s="5">
        <v>227.26747349999999</v>
      </c>
      <c r="N86" s="5">
        <v>-0.957821441</v>
      </c>
      <c r="O86" s="5">
        <v>0.75642984300000005</v>
      </c>
      <c r="P86" s="5">
        <v>5.2218000000000002E-4</v>
      </c>
      <c r="Q86" s="5">
        <v>-0.397270493</v>
      </c>
      <c r="R86">
        <v>0</v>
      </c>
      <c r="S86" t="b">
        <v>1</v>
      </c>
      <c r="T86" s="1">
        <v>45322.666666666664</v>
      </c>
      <c r="U86" s="1">
        <v>45338.666666666664</v>
      </c>
      <c r="V86" s="3">
        <f t="shared" si="22"/>
        <v>4.3835616438356165E-2</v>
      </c>
      <c r="W86">
        <v>3.7900000000000003E-2</v>
      </c>
      <c r="X86" s="7">
        <v>0.23400675408119451</v>
      </c>
      <c r="Y86" s="3">
        <f t="shared" si="23"/>
        <v>-4.4353865265029324E-2</v>
      </c>
      <c r="Z86" s="9">
        <f t="shared" si="24"/>
        <v>6.5279580477808324E-2</v>
      </c>
      <c r="AA86" s="3">
        <f t="shared" si="25"/>
        <v>4.3835616438356165E-2</v>
      </c>
      <c r="AB86" s="3">
        <f t="shared" si="26"/>
        <v>4.899389325351293E-2</v>
      </c>
      <c r="AC86" s="3">
        <f t="shared" si="27"/>
        <v>-0.84688706813419568</v>
      </c>
      <c r="AD86" s="3">
        <f t="shared" si="28"/>
        <v>0.19852903559499846</v>
      </c>
      <c r="AE86" s="3">
        <f t="shared" si="29"/>
        <v>0.80147096440500154</v>
      </c>
      <c r="AF86" s="3">
        <f t="shared" si="30"/>
        <v>1.0520419522191682E-2</v>
      </c>
      <c r="AG86" s="3">
        <f t="shared" si="31"/>
        <v>-0.89588096138770867</v>
      </c>
      <c r="AH86" s="3">
        <f t="shared" si="32"/>
        <v>0.18515817170852469</v>
      </c>
      <c r="AI86" s="3">
        <f t="shared" si="33"/>
        <v>0.81484182829147533</v>
      </c>
      <c r="AJ86" s="20" t="str">
        <f t="shared" si="34"/>
        <v>Put</v>
      </c>
      <c r="AK86" s="20">
        <f>IF(E86="Put",EXP(-W86*AA86)*F86*AI86-C86*AE86,"Call")</f>
        <v>228.10000045334209</v>
      </c>
      <c r="AL86" s="3">
        <f t="shared" si="36"/>
        <v>228.10000045334209</v>
      </c>
      <c r="AM86" s="3">
        <f t="shared" si="37"/>
        <v>228.1</v>
      </c>
      <c r="AN86" s="5">
        <f t="shared" si="38"/>
        <v>227.26747349999999</v>
      </c>
      <c r="AO86" s="5">
        <f t="shared" si="39"/>
        <v>-4.5334209630709665E-7</v>
      </c>
      <c r="AP86" s="5">
        <f t="shared" si="40"/>
        <v>-0.84688706813419568</v>
      </c>
      <c r="AQ86" s="5">
        <f t="shared" si="41"/>
        <v>-0.89588096138770867</v>
      </c>
      <c r="AR86" s="5">
        <f t="shared" si="42"/>
        <v>228.1</v>
      </c>
      <c r="AS86" s="5">
        <f t="shared" si="43"/>
        <v>227.26747349999999</v>
      </c>
    </row>
    <row r="87" spans="1:45" x14ac:dyDescent="0.25">
      <c r="A87" s="1">
        <v>45322.666666666664</v>
      </c>
      <c r="B87">
        <v>20240216</v>
      </c>
      <c r="C87">
        <v>4663.5</v>
      </c>
      <c r="D87">
        <v>4648.2287960000003</v>
      </c>
      <c r="E87" t="s">
        <v>42</v>
      </c>
      <c r="F87">
        <v>4900</v>
      </c>
      <c r="G87">
        <v>10</v>
      </c>
      <c r="H87" t="s">
        <v>41</v>
      </c>
      <c r="I87" s="3">
        <v>1.2</v>
      </c>
      <c r="J87" s="3">
        <v>1.4</v>
      </c>
      <c r="K87" s="5">
        <v>13.632033740000001</v>
      </c>
      <c r="L87" s="5">
        <v>0.64329366399999999</v>
      </c>
      <c r="M87" s="5">
        <v>1.3049223510000001</v>
      </c>
      <c r="N87" s="5">
        <v>2.7202016999999998E-2</v>
      </c>
      <c r="O87" s="5">
        <v>0.58220022100000002</v>
      </c>
      <c r="P87" s="5">
        <v>3.58332E-4</v>
      </c>
      <c r="Q87" s="5">
        <v>-0.28734303100000003</v>
      </c>
      <c r="R87">
        <v>0</v>
      </c>
      <c r="S87" t="b">
        <v>1</v>
      </c>
      <c r="T87" s="1">
        <v>45322.666666666664</v>
      </c>
      <c r="U87" s="1">
        <v>45338.666666666664</v>
      </c>
      <c r="V87" s="3">
        <f t="shared" si="22"/>
        <v>4.3835616438356165E-2</v>
      </c>
      <c r="W87">
        <v>3.7900000000000003E-2</v>
      </c>
      <c r="X87" s="7">
        <v>0.12125258145798926</v>
      </c>
      <c r="Y87" s="3">
        <f t="shared" si="23"/>
        <v>-4.9468965931799752E-2</v>
      </c>
      <c r="Z87" s="9">
        <f t="shared" si="24"/>
        <v>4.5251094255113165E-2</v>
      </c>
      <c r="AA87" s="3">
        <f t="shared" si="25"/>
        <v>4.3835616438356165E-2</v>
      </c>
      <c r="AB87" s="3">
        <f t="shared" si="26"/>
        <v>2.5386600724372058E-2</v>
      </c>
      <c r="AC87" s="3">
        <f t="shared" si="27"/>
        <v>-1.870488957390386</v>
      </c>
      <c r="AD87" s="3">
        <f t="shared" si="28"/>
        <v>3.0707974516335126E-2</v>
      </c>
      <c r="AE87" s="3">
        <f t="shared" si="29"/>
        <v>0.96929202548366489</v>
      </c>
      <c r="AF87" s="3">
        <f t="shared" si="30"/>
        <v>3.0548905744886844E-2</v>
      </c>
      <c r="AG87" s="3">
        <f t="shared" si="31"/>
        <v>-1.8958755581147579</v>
      </c>
      <c r="AH87" s="3">
        <f t="shared" si="32"/>
        <v>2.898825081669652E-2</v>
      </c>
      <c r="AI87" s="3">
        <f t="shared" si="33"/>
        <v>0.97101174918330346</v>
      </c>
      <c r="AJ87" s="20">
        <f t="shared" si="34"/>
        <v>1.3999992452501715</v>
      </c>
      <c r="AK87" s="20" t="str">
        <f t="shared" si="35"/>
        <v>Call</v>
      </c>
      <c r="AL87" s="3">
        <f t="shared" si="36"/>
        <v>1.3999992452501715</v>
      </c>
      <c r="AM87" s="3">
        <f t="shared" si="37"/>
        <v>1.4</v>
      </c>
      <c r="AN87" s="5">
        <f t="shared" si="38"/>
        <v>1.3049223510000001</v>
      </c>
      <c r="AO87" s="5">
        <f t="shared" si="39"/>
        <v>7.5474982841328142E-7</v>
      </c>
      <c r="AP87" s="5">
        <f t="shared" si="40"/>
        <v>-1.870488957390386</v>
      </c>
      <c r="AQ87" s="5">
        <f t="shared" si="41"/>
        <v>-1.8958755581147579</v>
      </c>
      <c r="AR87" s="5">
        <f t="shared" si="42"/>
        <v>1.4</v>
      </c>
      <c r="AS87" s="5">
        <f t="shared" si="43"/>
        <v>1.3049223510000001</v>
      </c>
    </row>
    <row r="88" spans="1:45" x14ac:dyDescent="0.25">
      <c r="A88" s="1">
        <v>45322.666666666664</v>
      </c>
      <c r="B88">
        <v>20240216</v>
      </c>
      <c r="C88">
        <v>4663.5</v>
      </c>
      <c r="D88">
        <v>4648.2287960000003</v>
      </c>
      <c r="E88" t="s">
        <v>40</v>
      </c>
      <c r="F88">
        <v>4900</v>
      </c>
      <c r="G88">
        <v>10</v>
      </c>
      <c r="H88" t="s">
        <v>41</v>
      </c>
      <c r="I88" s="3">
        <v>250.5</v>
      </c>
      <c r="J88" s="3">
        <v>252.5</v>
      </c>
      <c r="K88" s="5">
        <v>13.632033740000001</v>
      </c>
      <c r="L88" s="5">
        <v>0.64329366399999999</v>
      </c>
      <c r="M88" s="5">
        <v>251.70353370000001</v>
      </c>
      <c r="N88" s="5">
        <v>-0.96797173700000005</v>
      </c>
      <c r="O88" s="5">
        <v>0.58220022100000002</v>
      </c>
      <c r="P88" s="5">
        <v>3.58332E-4</v>
      </c>
      <c r="Q88" s="5">
        <v>-0.28734303100000003</v>
      </c>
      <c r="R88">
        <v>0</v>
      </c>
      <c r="S88" t="b">
        <v>1</v>
      </c>
      <c r="T88" s="1">
        <v>45322.666666666664</v>
      </c>
      <c r="U88" s="1">
        <v>45338.666666666664</v>
      </c>
      <c r="V88" s="3">
        <f t="shared" si="22"/>
        <v>4.3835616438356165E-2</v>
      </c>
      <c r="W88">
        <v>3.7900000000000003E-2</v>
      </c>
      <c r="X88" s="7">
        <v>0.24862668150500081</v>
      </c>
      <c r="Y88" s="3">
        <f t="shared" si="23"/>
        <v>-4.9468965931799752E-2</v>
      </c>
      <c r="Z88" s="9">
        <f t="shared" si="24"/>
        <v>6.8807613378094559E-2</v>
      </c>
      <c r="AA88" s="3">
        <f t="shared" si="25"/>
        <v>4.3835616438356165E-2</v>
      </c>
      <c r="AB88" s="3">
        <f t="shared" si="26"/>
        <v>5.20548611575741E-2</v>
      </c>
      <c r="AC88" s="3">
        <f t="shared" si="27"/>
        <v>-0.89238047611159399</v>
      </c>
      <c r="AD88" s="3">
        <f t="shared" si="28"/>
        <v>0.18609451613097155</v>
      </c>
      <c r="AE88" s="3">
        <f t="shared" si="29"/>
        <v>0.8139054838690285</v>
      </c>
      <c r="AF88" s="3">
        <f t="shared" si="30"/>
        <v>6.992386621905447E-3</v>
      </c>
      <c r="AG88" s="3">
        <f t="shared" si="31"/>
        <v>-0.94443533726916806</v>
      </c>
      <c r="AH88" s="3">
        <f t="shared" si="32"/>
        <v>0.17247361539256886</v>
      </c>
      <c r="AI88" s="3">
        <f t="shared" si="33"/>
        <v>0.82752638460743111</v>
      </c>
      <c r="AJ88" s="20" t="str">
        <f t="shared" si="34"/>
        <v>Put</v>
      </c>
      <c r="AK88" s="20">
        <f t="shared" si="35"/>
        <v>252.49999925106886</v>
      </c>
      <c r="AL88" s="3">
        <f t="shared" si="36"/>
        <v>252.49999925106886</v>
      </c>
      <c r="AM88" s="3">
        <f t="shared" si="37"/>
        <v>252.5</v>
      </c>
      <c r="AN88" s="5">
        <f t="shared" si="38"/>
        <v>251.70353370000001</v>
      </c>
      <c r="AO88" s="5">
        <f t="shared" si="39"/>
        <v>7.4893114287988283E-7</v>
      </c>
      <c r="AP88" s="5">
        <f t="shared" si="40"/>
        <v>-0.89238047611159399</v>
      </c>
      <c r="AQ88" s="5">
        <f t="shared" si="41"/>
        <v>-0.94443533726916806</v>
      </c>
      <c r="AR88" s="5">
        <f t="shared" si="42"/>
        <v>252.5</v>
      </c>
      <c r="AS88" s="5">
        <f t="shared" si="43"/>
        <v>251.70353370000001</v>
      </c>
    </row>
    <row r="89" spans="1:45" x14ac:dyDescent="0.25">
      <c r="A89" s="1">
        <v>45322.666666666664</v>
      </c>
      <c r="B89">
        <v>20240216</v>
      </c>
      <c r="C89">
        <v>4663.5</v>
      </c>
      <c r="D89">
        <v>4648.2287960000003</v>
      </c>
      <c r="E89" t="s">
        <v>42</v>
      </c>
      <c r="F89">
        <v>4925</v>
      </c>
      <c r="G89">
        <v>10</v>
      </c>
      <c r="H89" t="s">
        <v>41</v>
      </c>
      <c r="I89" s="3">
        <v>0.9</v>
      </c>
      <c r="J89" s="3">
        <v>1.1000000000000001</v>
      </c>
      <c r="K89" s="5">
        <v>14.04846858</v>
      </c>
      <c r="L89" s="5">
        <v>0.64329366399999999</v>
      </c>
      <c r="M89" s="5">
        <v>0.96607538000000004</v>
      </c>
      <c r="N89" s="5">
        <v>2.0300450000000001E-2</v>
      </c>
      <c r="O89" s="5">
        <v>0.455188325</v>
      </c>
      <c r="P89" s="5">
        <v>2.4731299999999998E-4</v>
      </c>
      <c r="Q89" s="5">
        <v>-0.21061966700000001</v>
      </c>
      <c r="R89">
        <v>0</v>
      </c>
      <c r="S89" t="b">
        <v>1</v>
      </c>
      <c r="T89" s="1">
        <v>45322.666666666664</v>
      </c>
      <c r="U89" s="1">
        <v>45338.666666666664</v>
      </c>
      <c r="V89" s="3">
        <f t="shared" si="22"/>
        <v>4.3835616438356165E-2</v>
      </c>
      <c r="W89">
        <v>3.7900000000000003E-2</v>
      </c>
      <c r="X89" s="7">
        <v>0.12677764658716015</v>
      </c>
      <c r="Y89" s="3">
        <f t="shared" si="23"/>
        <v>-5.4558035439271062E-2</v>
      </c>
      <c r="Z89" s="9">
        <f t="shared" si="24"/>
        <v>4.5936285837089447E-2</v>
      </c>
      <c r="AA89" s="3">
        <f t="shared" si="25"/>
        <v>4.3835616438356165E-2</v>
      </c>
      <c r="AB89" s="3">
        <f t="shared" si="26"/>
        <v>2.6543381229362874E-2</v>
      </c>
      <c r="AC89" s="3">
        <f t="shared" si="27"/>
        <v>-1.9795665660932433</v>
      </c>
      <c r="AD89" s="3">
        <f t="shared" si="28"/>
        <v>2.3876126471719446E-2</v>
      </c>
      <c r="AE89" s="3">
        <f t="shared" si="29"/>
        <v>0.97612387352828056</v>
      </c>
      <c r="AF89" s="3">
        <f t="shared" si="30"/>
        <v>2.9863714162910563E-2</v>
      </c>
      <c r="AG89" s="3">
        <f t="shared" si="31"/>
        <v>-2.0061099473226061</v>
      </c>
      <c r="AH89" s="3">
        <f t="shared" si="32"/>
        <v>2.2422259397095603E-2</v>
      </c>
      <c r="AI89" s="3">
        <f t="shared" si="33"/>
        <v>0.97757774060290437</v>
      </c>
      <c r="AJ89" s="20">
        <f t="shared" si="34"/>
        <v>1.1000004085359336</v>
      </c>
      <c r="AK89" s="20" t="str">
        <f t="shared" si="35"/>
        <v>Call</v>
      </c>
      <c r="AL89" s="3">
        <f t="shared" si="36"/>
        <v>1.1000004085359336</v>
      </c>
      <c r="AM89" s="3">
        <f t="shared" si="37"/>
        <v>1.1000000000000001</v>
      </c>
      <c r="AN89" s="5">
        <f t="shared" si="38"/>
        <v>0.96607538000000004</v>
      </c>
      <c r="AO89" s="5">
        <f t="shared" si="39"/>
        <v>-4.0853593352707662E-7</v>
      </c>
      <c r="AP89" s="5">
        <f t="shared" si="40"/>
        <v>-1.9795665660932433</v>
      </c>
      <c r="AQ89" s="5">
        <f t="shared" si="41"/>
        <v>-2.0061099473226061</v>
      </c>
      <c r="AR89" s="5">
        <f t="shared" si="42"/>
        <v>1.1000000000000001</v>
      </c>
      <c r="AS89" s="5">
        <f t="shared" si="43"/>
        <v>0.96607538000000004</v>
      </c>
    </row>
    <row r="90" spans="1:45" x14ac:dyDescent="0.25">
      <c r="A90" s="1">
        <v>45322.666666666664</v>
      </c>
      <c r="B90">
        <v>20240216</v>
      </c>
      <c r="C90">
        <v>4663.5</v>
      </c>
      <c r="D90">
        <v>4648.2287960000003</v>
      </c>
      <c r="E90" t="s">
        <v>40</v>
      </c>
      <c r="F90">
        <v>4925</v>
      </c>
      <c r="G90">
        <v>10</v>
      </c>
      <c r="H90" t="s">
        <v>41</v>
      </c>
      <c r="I90" s="3">
        <v>275.10000000000002</v>
      </c>
      <c r="J90" s="3">
        <v>277.10000000000002</v>
      </c>
      <c r="K90" s="5">
        <v>14.04846858</v>
      </c>
      <c r="L90" s="5">
        <v>0.64329366399999999</v>
      </c>
      <c r="M90" s="5">
        <v>276.32076530000001</v>
      </c>
      <c r="N90" s="5">
        <v>-0.97487330500000002</v>
      </c>
      <c r="O90" s="5">
        <v>0.455188325</v>
      </c>
      <c r="P90" s="5">
        <v>2.4731299999999998E-4</v>
      </c>
      <c r="Q90" s="5">
        <v>-0.21061966700000001</v>
      </c>
      <c r="R90">
        <v>0</v>
      </c>
      <c r="S90" t="b">
        <v>1</v>
      </c>
      <c r="T90" s="1">
        <v>45322.666666666664</v>
      </c>
      <c r="U90" s="1">
        <v>45338.666666666664</v>
      </c>
      <c r="V90" s="3">
        <f t="shared" si="22"/>
        <v>4.3835616438356165E-2</v>
      </c>
      <c r="W90">
        <v>3.7900000000000003E-2</v>
      </c>
      <c r="X90" s="7">
        <v>0.26346042073291653</v>
      </c>
      <c r="Y90" s="3">
        <f t="shared" si="23"/>
        <v>-5.4558035439271062E-2</v>
      </c>
      <c r="Z90" s="9">
        <f t="shared" si="24"/>
        <v>7.2605696646382695E-2</v>
      </c>
      <c r="AA90" s="3">
        <f t="shared" si="25"/>
        <v>4.3835616438356165E-2</v>
      </c>
      <c r="AB90" s="3">
        <f t="shared" si="26"/>
        <v>5.5160594746916494E-2</v>
      </c>
      <c r="AC90" s="3">
        <f t="shared" si="27"/>
        <v>-0.93137719427349885</v>
      </c>
      <c r="AD90" s="3">
        <f t="shared" si="28"/>
        <v>0.17582924177331383</v>
      </c>
      <c r="AE90" s="3">
        <f t="shared" si="29"/>
        <v>0.82417075822668617</v>
      </c>
      <c r="AF90" s="3">
        <f t="shared" si="30"/>
        <v>3.1943033536173046E-3</v>
      </c>
      <c r="AG90" s="3">
        <f t="shared" si="31"/>
        <v>-0.98653778902041545</v>
      </c>
      <c r="AH90" s="3">
        <f t="shared" si="32"/>
        <v>0.1619346405250025</v>
      </c>
      <c r="AI90" s="3">
        <f t="shared" si="33"/>
        <v>0.8380653594749975</v>
      </c>
      <c r="AJ90" s="20" t="str">
        <f t="shared" si="34"/>
        <v>Put</v>
      </c>
      <c r="AK90" s="20">
        <f t="shared" si="35"/>
        <v>277.10000007394228</v>
      </c>
      <c r="AL90" s="3">
        <f t="shared" si="36"/>
        <v>277.10000007394228</v>
      </c>
      <c r="AM90" s="3">
        <f t="shared" si="37"/>
        <v>277.10000000000002</v>
      </c>
      <c r="AN90" s="5">
        <f t="shared" si="38"/>
        <v>276.32076530000001</v>
      </c>
      <c r="AO90" s="5">
        <f t="shared" si="39"/>
        <v>-7.3942260314652231E-8</v>
      </c>
      <c r="AP90" s="5">
        <f t="shared" si="40"/>
        <v>-0.93137719427349885</v>
      </c>
      <c r="AQ90" s="5">
        <f t="shared" si="41"/>
        <v>-0.98653778902041545</v>
      </c>
      <c r="AR90" s="5">
        <f t="shared" si="42"/>
        <v>277.10000000000002</v>
      </c>
      <c r="AS90" s="5">
        <f t="shared" si="43"/>
        <v>276.32076530000001</v>
      </c>
    </row>
    <row r="91" spans="1:45" x14ac:dyDescent="0.25">
      <c r="A91" s="1">
        <v>45322.666666666664</v>
      </c>
      <c r="B91">
        <v>20240216</v>
      </c>
      <c r="C91">
        <v>4663.5</v>
      </c>
      <c r="D91">
        <v>4648.2287960000003</v>
      </c>
      <c r="E91" t="s">
        <v>42</v>
      </c>
      <c r="F91">
        <v>4950</v>
      </c>
      <c r="G91">
        <v>10</v>
      </c>
      <c r="H91" t="s">
        <v>41</v>
      </c>
      <c r="I91" s="3">
        <v>0.6</v>
      </c>
      <c r="J91" s="3">
        <v>0.9</v>
      </c>
      <c r="K91" s="5">
        <v>14.506366140000001</v>
      </c>
      <c r="L91" s="5">
        <v>0.64329366399999999</v>
      </c>
      <c r="M91" s="5">
        <v>0.73666079699999998</v>
      </c>
      <c r="N91" s="5">
        <v>1.5492924E-2</v>
      </c>
      <c r="O91" s="5">
        <v>0.36147293200000002</v>
      </c>
      <c r="P91" s="5">
        <v>1.75563E-4</v>
      </c>
      <c r="Q91" s="5">
        <v>-0.15942010500000001</v>
      </c>
      <c r="R91">
        <v>0</v>
      </c>
      <c r="S91" t="b">
        <v>1</v>
      </c>
      <c r="T91" s="1">
        <v>45322.666666666664</v>
      </c>
      <c r="U91" s="1">
        <v>45338.666666666664</v>
      </c>
      <c r="V91" s="3">
        <f t="shared" si="22"/>
        <v>4.3835616438356165E-2</v>
      </c>
      <c r="W91">
        <v>3.7900000000000003E-2</v>
      </c>
      <c r="X91" s="7">
        <v>0.13278231187207049</v>
      </c>
      <c r="Y91" s="3">
        <f t="shared" si="23"/>
        <v>-5.9621337395817778E-2</v>
      </c>
      <c r="Z91" s="9">
        <f t="shared" si="24"/>
        <v>4.6715571173045894E-2</v>
      </c>
      <c r="AA91" s="3">
        <f t="shared" si="25"/>
        <v>4.3835616438356165E-2</v>
      </c>
      <c r="AB91" s="3">
        <f t="shared" si="26"/>
        <v>2.7800575412270493E-2</v>
      </c>
      <c r="AC91" s="3">
        <f t="shared" si="27"/>
        <v>-2.0709474779707571</v>
      </c>
      <c r="AD91" s="3">
        <f t="shared" si="28"/>
        <v>1.9181852294785581E-2</v>
      </c>
      <c r="AE91" s="3">
        <f t="shared" si="29"/>
        <v>0.98081814770521447</v>
      </c>
      <c r="AF91" s="3">
        <f t="shared" si="30"/>
        <v>2.9084428826954108E-2</v>
      </c>
      <c r="AG91" s="3">
        <f t="shared" si="31"/>
        <v>-2.0987480533830274</v>
      </c>
      <c r="AH91" s="3">
        <f t="shared" si="32"/>
        <v>1.7919558111583852E-2</v>
      </c>
      <c r="AI91" s="3">
        <f t="shared" si="33"/>
        <v>0.98208044188841614</v>
      </c>
      <c r="AJ91" s="20">
        <f t="shared" si="34"/>
        <v>0.89999969534569857</v>
      </c>
      <c r="AK91" s="20" t="str">
        <f t="shared" si="35"/>
        <v>Call</v>
      </c>
      <c r="AL91" s="3">
        <f t="shared" si="36"/>
        <v>0.89999969534569857</v>
      </c>
      <c r="AM91" s="3">
        <f t="shared" si="37"/>
        <v>0.9</v>
      </c>
      <c r="AN91" s="5">
        <f t="shared" si="38"/>
        <v>0.73666079699999998</v>
      </c>
      <c r="AO91" s="5">
        <f t="shared" si="39"/>
        <v>3.0465430145287797E-7</v>
      </c>
      <c r="AP91" s="5">
        <f t="shared" si="40"/>
        <v>-2.0709474779707571</v>
      </c>
      <c r="AQ91" s="5">
        <f t="shared" si="41"/>
        <v>-2.0987480533830274</v>
      </c>
      <c r="AR91" s="5">
        <f t="shared" si="42"/>
        <v>0.9</v>
      </c>
      <c r="AS91" s="5">
        <f t="shared" si="43"/>
        <v>0.73666079699999998</v>
      </c>
    </row>
    <row r="92" spans="1:45" x14ac:dyDescent="0.25">
      <c r="A92" s="1">
        <v>45322.666666666664</v>
      </c>
      <c r="B92">
        <v>20240216</v>
      </c>
      <c r="C92">
        <v>4663.5</v>
      </c>
      <c r="D92">
        <v>4648.2287960000003</v>
      </c>
      <c r="E92" t="s">
        <v>40</v>
      </c>
      <c r="F92">
        <v>4950</v>
      </c>
      <c r="G92">
        <v>10</v>
      </c>
      <c r="H92" t="s">
        <v>41</v>
      </c>
      <c r="I92" s="3">
        <v>299.89999999999998</v>
      </c>
      <c r="J92" s="3">
        <v>302</v>
      </c>
      <c r="K92" s="5">
        <v>14.506366140000001</v>
      </c>
      <c r="L92" s="5">
        <v>0.64329366399999999</v>
      </c>
      <c r="M92" s="5">
        <v>301.0474294</v>
      </c>
      <c r="N92" s="5">
        <v>-0.97968083100000003</v>
      </c>
      <c r="O92" s="5">
        <v>0.36147293200000002</v>
      </c>
      <c r="P92" s="5">
        <v>1.75563E-4</v>
      </c>
      <c r="Q92" s="5">
        <v>-0.15942010500000001</v>
      </c>
      <c r="R92">
        <v>0</v>
      </c>
      <c r="S92" t="b">
        <v>1</v>
      </c>
      <c r="T92" s="1">
        <v>45322.666666666664</v>
      </c>
      <c r="U92" s="1">
        <v>45338.666666666664</v>
      </c>
      <c r="V92" s="3">
        <f t="shared" si="22"/>
        <v>4.3835616438356165E-2</v>
      </c>
      <c r="W92">
        <v>3.7900000000000003E-2</v>
      </c>
      <c r="X92" s="7">
        <v>0.27904785518104386</v>
      </c>
      <c r="Y92" s="3">
        <f t="shared" si="23"/>
        <v>-5.9621337395817778E-2</v>
      </c>
      <c r="Z92" s="9">
        <f t="shared" si="24"/>
        <v>7.6833852740570419E-2</v>
      </c>
      <c r="AA92" s="3">
        <f t="shared" si="25"/>
        <v>4.3835616438356165E-2</v>
      </c>
      <c r="AB92" s="3">
        <f t="shared" si="26"/>
        <v>5.8424129179699143E-2</v>
      </c>
      <c r="AC92" s="3">
        <f t="shared" si="27"/>
        <v>-0.96284324451938152</v>
      </c>
      <c r="AD92" s="3">
        <f t="shared" si="28"/>
        <v>0.16781309761271693</v>
      </c>
      <c r="AE92" s="3">
        <f t="shared" si="29"/>
        <v>0.8321869023872831</v>
      </c>
      <c r="AF92" s="3">
        <f t="shared" si="30"/>
        <v>-1.0338527405704123E-3</v>
      </c>
      <c r="AG92" s="3">
        <f t="shared" si="31"/>
        <v>-1.0212673736990807</v>
      </c>
      <c r="AH92" s="3">
        <f t="shared" si="32"/>
        <v>0.15356388982408156</v>
      </c>
      <c r="AI92" s="3">
        <f t="shared" si="33"/>
        <v>0.84643611017591847</v>
      </c>
      <c r="AJ92" s="20" t="str">
        <f t="shared" si="34"/>
        <v>Put</v>
      </c>
      <c r="AK92" s="20">
        <f t="shared" si="35"/>
        <v>302.00000015593241</v>
      </c>
      <c r="AL92" s="3">
        <f t="shared" si="36"/>
        <v>302.00000015593241</v>
      </c>
      <c r="AM92" s="3">
        <f t="shared" si="37"/>
        <v>302</v>
      </c>
      <c r="AN92" s="5">
        <f t="shared" si="38"/>
        <v>301.0474294</v>
      </c>
      <c r="AO92" s="5">
        <f t="shared" si="39"/>
        <v>-1.5593241187161766E-7</v>
      </c>
      <c r="AP92" s="5">
        <f t="shared" si="40"/>
        <v>-0.96284324451938152</v>
      </c>
      <c r="AQ92" s="5">
        <f t="shared" si="41"/>
        <v>-1.0212673736990807</v>
      </c>
      <c r="AR92" s="5">
        <f t="shared" si="42"/>
        <v>302</v>
      </c>
      <c r="AS92" s="5">
        <f t="shared" si="43"/>
        <v>301.0474294</v>
      </c>
    </row>
    <row r="93" spans="1:45" x14ac:dyDescent="0.25">
      <c r="A93" s="1">
        <v>45322.666666666664</v>
      </c>
      <c r="B93">
        <v>20240216</v>
      </c>
      <c r="C93">
        <v>4663.5</v>
      </c>
      <c r="D93">
        <v>4648.2287960000003</v>
      </c>
      <c r="E93" t="s">
        <v>42</v>
      </c>
      <c r="F93">
        <v>4975</v>
      </c>
      <c r="G93">
        <v>10</v>
      </c>
      <c r="H93" t="s">
        <v>41</v>
      </c>
      <c r="I93" s="3">
        <v>0.5</v>
      </c>
      <c r="J93" s="3">
        <v>0.7</v>
      </c>
      <c r="K93" s="5">
        <v>14.985100689999999</v>
      </c>
      <c r="L93" s="5">
        <v>0.64329366399999999</v>
      </c>
      <c r="M93" s="5">
        <v>0.57396241800000003</v>
      </c>
      <c r="N93" s="5">
        <v>1.203038E-2</v>
      </c>
      <c r="O93" s="5">
        <v>0.29060911</v>
      </c>
      <c r="P93" s="5">
        <v>1.27546E-4</v>
      </c>
      <c r="Q93" s="5">
        <v>-0.12358854800000001</v>
      </c>
      <c r="R93">
        <v>0</v>
      </c>
      <c r="S93" t="b">
        <v>1</v>
      </c>
      <c r="T93" s="1">
        <v>45322.666666666664</v>
      </c>
      <c r="U93" s="1">
        <v>45338.666666666664</v>
      </c>
      <c r="V93" s="3">
        <f t="shared" si="22"/>
        <v>4.3835616438356165E-2</v>
      </c>
      <c r="W93">
        <v>3.7900000000000003E-2</v>
      </c>
      <c r="X93" s="7">
        <v>0.13750281326557465</v>
      </c>
      <c r="Y93" s="3">
        <f t="shared" si="23"/>
        <v>-6.465913142577491E-2</v>
      </c>
      <c r="Z93" s="9">
        <f t="shared" si="24"/>
        <v>4.7353511827973746E-2</v>
      </c>
      <c r="AA93" s="3">
        <f t="shared" si="25"/>
        <v>4.3835616438356165E-2</v>
      </c>
      <c r="AB93" s="3">
        <f t="shared" si="26"/>
        <v>2.8788904754662701E-2</v>
      </c>
      <c r="AC93" s="3">
        <f t="shared" si="27"/>
        <v>-2.173870856762572</v>
      </c>
      <c r="AD93" s="3">
        <f t="shared" si="28"/>
        <v>1.4857417635798962E-2</v>
      </c>
      <c r="AE93" s="3">
        <f t="shared" si="29"/>
        <v>0.98514258236420105</v>
      </c>
      <c r="AF93" s="3">
        <f t="shared" si="30"/>
        <v>2.8446488172026257E-2</v>
      </c>
      <c r="AG93" s="3">
        <f t="shared" si="31"/>
        <v>-2.2026597615172347</v>
      </c>
      <c r="AH93" s="3">
        <f t="shared" si="32"/>
        <v>1.3809369184637729E-2</v>
      </c>
      <c r="AI93" s="3">
        <f t="shared" si="33"/>
        <v>0.98619063081536229</v>
      </c>
      <c r="AJ93" s="20">
        <f t="shared" si="34"/>
        <v>0.69999947729819212</v>
      </c>
      <c r="AK93" s="20" t="str">
        <f t="shared" si="35"/>
        <v>Call</v>
      </c>
      <c r="AL93" s="3">
        <f t="shared" si="36"/>
        <v>0.69999947729819212</v>
      </c>
      <c r="AM93" s="3">
        <f t="shared" si="37"/>
        <v>0.7</v>
      </c>
      <c r="AN93" s="5">
        <f t="shared" si="38"/>
        <v>0.57396241800000003</v>
      </c>
      <c r="AO93" s="5">
        <f t="shared" si="39"/>
        <v>5.2270180783686726E-7</v>
      </c>
      <c r="AP93" s="5">
        <f t="shared" si="40"/>
        <v>-2.173870856762572</v>
      </c>
      <c r="AQ93" s="5">
        <f t="shared" si="41"/>
        <v>-2.2026597615172347</v>
      </c>
      <c r="AR93" s="5">
        <f t="shared" si="42"/>
        <v>0.7</v>
      </c>
      <c r="AS93" s="5">
        <f t="shared" si="43"/>
        <v>0.57396241800000003</v>
      </c>
    </row>
    <row r="94" spans="1:45" x14ac:dyDescent="0.25">
      <c r="A94" s="1">
        <v>45322.666666666664</v>
      </c>
      <c r="B94">
        <v>20240216</v>
      </c>
      <c r="C94">
        <v>4663.5</v>
      </c>
      <c r="D94">
        <v>4648.2287960000003</v>
      </c>
      <c r="E94" t="s">
        <v>40</v>
      </c>
      <c r="F94">
        <v>4975</v>
      </c>
      <c r="G94">
        <v>10</v>
      </c>
      <c r="H94" t="s">
        <v>41</v>
      </c>
      <c r="I94" s="3">
        <v>324.7</v>
      </c>
      <c r="J94" s="3">
        <v>326.8</v>
      </c>
      <c r="K94" s="5">
        <v>14.985100689999999</v>
      </c>
      <c r="L94" s="5">
        <v>0.64329366399999999</v>
      </c>
      <c r="M94" s="5">
        <v>325.84080970000002</v>
      </c>
      <c r="N94" s="5">
        <v>-0.98314337500000004</v>
      </c>
      <c r="O94" s="5">
        <v>0.29060911</v>
      </c>
      <c r="P94" s="5">
        <v>1.27546E-4</v>
      </c>
      <c r="Q94" s="5">
        <v>-0.12358854800000001</v>
      </c>
      <c r="R94">
        <v>0</v>
      </c>
      <c r="S94" t="b">
        <v>1</v>
      </c>
      <c r="T94" s="1">
        <v>45322.666666666664</v>
      </c>
      <c r="U94" s="1">
        <v>45338.666666666664</v>
      </c>
      <c r="V94" s="3">
        <f t="shared" si="22"/>
        <v>4.3835616438356165E-2</v>
      </c>
      <c r="W94">
        <v>3.7900000000000003E-2</v>
      </c>
      <c r="X94" s="7">
        <v>0.29385742703117368</v>
      </c>
      <c r="Y94" s="3">
        <f t="shared" si="23"/>
        <v>-6.465913142577491E-2</v>
      </c>
      <c r="Z94" s="9">
        <f t="shared" si="24"/>
        <v>8.1076093710690786E-2</v>
      </c>
      <c r="AA94" s="3">
        <f t="shared" si="25"/>
        <v>4.3835616438356165E-2</v>
      </c>
      <c r="AB94" s="3">
        <f t="shared" si="26"/>
        <v>6.1524802855569764E-2</v>
      </c>
      <c r="AC94" s="3">
        <f t="shared" si="27"/>
        <v>-0.99317849133133929</v>
      </c>
      <c r="AD94" s="3">
        <f t="shared" si="28"/>
        <v>0.16031148909210999</v>
      </c>
      <c r="AE94" s="3">
        <f t="shared" si="29"/>
        <v>0.83968851090788998</v>
      </c>
      <c r="AF94" s="3">
        <f t="shared" si="30"/>
        <v>-5.2760937106907796E-3</v>
      </c>
      <c r="AG94" s="3">
        <f t="shared" si="31"/>
        <v>-1.054703294186909</v>
      </c>
      <c r="AH94" s="3">
        <f t="shared" si="32"/>
        <v>0.14578052236114353</v>
      </c>
      <c r="AI94" s="3">
        <f t="shared" si="33"/>
        <v>0.85421947763885653</v>
      </c>
      <c r="AJ94" s="20" t="str">
        <f t="shared" si="34"/>
        <v>Put</v>
      </c>
      <c r="AK94" s="20">
        <f t="shared" si="35"/>
        <v>326.79999922960451</v>
      </c>
      <c r="AL94" s="3">
        <f t="shared" si="36"/>
        <v>326.79999922960451</v>
      </c>
      <c r="AM94" s="3">
        <f t="shared" si="37"/>
        <v>326.8</v>
      </c>
      <c r="AN94" s="5">
        <f t="shared" si="38"/>
        <v>325.84080970000002</v>
      </c>
      <c r="AO94" s="5">
        <f t="shared" si="39"/>
        <v>7.7039550205881824E-7</v>
      </c>
      <c r="AP94" s="5">
        <f t="shared" si="40"/>
        <v>-0.99317849133133929</v>
      </c>
      <c r="AQ94" s="5">
        <f t="shared" si="41"/>
        <v>-1.054703294186909</v>
      </c>
      <c r="AR94" s="5">
        <f t="shared" si="42"/>
        <v>326.8</v>
      </c>
      <c r="AS94" s="5">
        <f t="shared" si="43"/>
        <v>325.84080970000002</v>
      </c>
    </row>
    <row r="95" spans="1:45" x14ac:dyDescent="0.25">
      <c r="A95" s="1">
        <v>45322.666666666664</v>
      </c>
      <c r="B95">
        <v>20240216</v>
      </c>
      <c r="C95">
        <v>4663.5</v>
      </c>
      <c r="D95">
        <v>4648.2287960000003</v>
      </c>
      <c r="E95" t="s">
        <v>42</v>
      </c>
      <c r="F95">
        <v>5000</v>
      </c>
      <c r="G95">
        <v>10</v>
      </c>
      <c r="H95" t="s">
        <v>41</v>
      </c>
      <c r="I95" s="3">
        <v>0.4</v>
      </c>
      <c r="J95" s="3">
        <v>0.6</v>
      </c>
      <c r="K95" s="5">
        <v>15.48434761</v>
      </c>
      <c r="L95" s="5">
        <v>0.64329366399999999</v>
      </c>
      <c r="M95" s="5">
        <v>0.45720339999999998</v>
      </c>
      <c r="N95" s="5">
        <v>9.5149450000000003E-3</v>
      </c>
      <c r="O95" s="5">
        <v>0.23692753799999999</v>
      </c>
      <c r="P95" s="12">
        <v>9.35103803474015E-5</v>
      </c>
      <c r="Q95" s="5">
        <v>-9.6747348999999996E-2</v>
      </c>
      <c r="R95">
        <v>0</v>
      </c>
      <c r="S95" t="b">
        <v>1</v>
      </c>
      <c r="T95" s="1">
        <v>45322.666666666664</v>
      </c>
      <c r="U95" s="1">
        <v>45338.666666666664</v>
      </c>
      <c r="V95" s="3">
        <f t="shared" si="22"/>
        <v>4.3835616438356165E-2</v>
      </c>
      <c r="W95">
        <v>3.7900000000000003E-2</v>
      </c>
      <c r="X95" s="7">
        <v>0.14381905413174481</v>
      </c>
      <c r="Y95" s="3">
        <f t="shared" si="23"/>
        <v>-6.9671673249319263E-2</v>
      </c>
      <c r="Z95" s="9">
        <f t="shared" si="24"/>
        <v>4.8241960165674877E-2</v>
      </c>
      <c r="AA95" s="3">
        <f t="shared" si="25"/>
        <v>4.3835616438356165E-2</v>
      </c>
      <c r="AB95" s="3">
        <f t="shared" si="26"/>
        <v>3.011133338274086E-2</v>
      </c>
      <c r="AC95" s="3">
        <f t="shared" si="27"/>
        <v>-2.2435724226674201</v>
      </c>
      <c r="AD95" s="3">
        <f t="shared" si="28"/>
        <v>1.2429962633472168E-2</v>
      </c>
      <c r="AE95" s="3">
        <f t="shared" si="29"/>
        <v>0.98757003736652782</v>
      </c>
      <c r="AF95" s="3">
        <f t="shared" si="30"/>
        <v>2.7558039834325129E-2</v>
      </c>
      <c r="AG95" s="3">
        <f t="shared" si="31"/>
        <v>-2.2736837560501608</v>
      </c>
      <c r="AH95" s="3">
        <f t="shared" si="32"/>
        <v>1.1492503766629769E-2</v>
      </c>
      <c r="AI95" s="3">
        <f t="shared" si="33"/>
        <v>0.9885074962333702</v>
      </c>
      <c r="AJ95" s="20">
        <f t="shared" si="34"/>
        <v>0.59999914640904706</v>
      </c>
      <c r="AK95" s="20" t="str">
        <f t="shared" si="35"/>
        <v>Call</v>
      </c>
      <c r="AL95" s="3">
        <f t="shared" si="36"/>
        <v>0.59999914640904706</v>
      </c>
      <c r="AM95" s="3">
        <f t="shared" si="37"/>
        <v>0.6</v>
      </c>
      <c r="AN95" s="5">
        <f t="shared" si="38"/>
        <v>0.45720339999999998</v>
      </c>
      <c r="AO95" s="5">
        <f t="shared" si="39"/>
        <v>8.5359095292059095E-7</v>
      </c>
      <c r="AP95" s="5">
        <f t="shared" si="40"/>
        <v>-2.2435724226674201</v>
      </c>
      <c r="AQ95" s="5">
        <f t="shared" si="41"/>
        <v>-2.2736837560501608</v>
      </c>
      <c r="AR95" s="5">
        <f t="shared" si="42"/>
        <v>0.6</v>
      </c>
      <c r="AS95" s="5">
        <f t="shared" si="43"/>
        <v>0.45720339999999998</v>
      </c>
    </row>
    <row r="96" spans="1:45" x14ac:dyDescent="0.25">
      <c r="A96" s="1">
        <v>45322.666666666664</v>
      </c>
      <c r="B96">
        <v>20240216</v>
      </c>
      <c r="C96">
        <v>4663.5</v>
      </c>
      <c r="D96">
        <v>4648.2287960000003</v>
      </c>
      <c r="E96" t="s">
        <v>40</v>
      </c>
      <c r="F96">
        <v>5000</v>
      </c>
      <c r="G96">
        <v>10</v>
      </c>
      <c r="H96" t="s">
        <v>41</v>
      </c>
      <c r="I96" s="3">
        <v>349.5</v>
      </c>
      <c r="J96" s="3">
        <v>351.5</v>
      </c>
      <c r="K96" s="5">
        <v>15.48434761</v>
      </c>
      <c r="L96" s="5">
        <v>0.64329366399999999</v>
      </c>
      <c r="M96" s="5">
        <v>350.68012929999998</v>
      </c>
      <c r="N96" s="5">
        <v>-0.98565881</v>
      </c>
      <c r="O96" s="5">
        <v>0.23692753799999999</v>
      </c>
      <c r="P96" s="12">
        <v>9.3510380347403899E-5</v>
      </c>
      <c r="Q96" s="5">
        <v>-9.6747348999999996E-2</v>
      </c>
      <c r="R96">
        <v>0</v>
      </c>
      <c r="S96" t="b">
        <v>1</v>
      </c>
      <c r="T96" s="1">
        <v>45322.666666666664</v>
      </c>
      <c r="U96" s="1">
        <v>45338.666666666664</v>
      </c>
      <c r="V96" s="3">
        <f t="shared" si="22"/>
        <v>4.3835616438356165E-2</v>
      </c>
      <c r="W96">
        <v>3.7900000000000003E-2</v>
      </c>
      <c r="X96" s="7">
        <v>0.30788399417231865</v>
      </c>
      <c r="Y96" s="3">
        <f t="shared" si="23"/>
        <v>-6.9671673249319263E-2</v>
      </c>
      <c r="Z96" s="9">
        <f t="shared" si="24"/>
        <v>8.5296276933750179E-2</v>
      </c>
      <c r="AA96" s="3">
        <f t="shared" si="25"/>
        <v>4.3835616438356165E-2</v>
      </c>
      <c r="AB96" s="3">
        <f t="shared" si="26"/>
        <v>6.4461539172967014E-2</v>
      </c>
      <c r="AC96" s="3">
        <f t="shared" si="27"/>
        <v>-1.0228216579364817</v>
      </c>
      <c r="AD96" s="3">
        <f t="shared" si="28"/>
        <v>0.15319608795414191</v>
      </c>
      <c r="AE96" s="3">
        <f t="shared" si="29"/>
        <v>0.84680391204585814</v>
      </c>
      <c r="AF96" s="3">
        <f t="shared" si="30"/>
        <v>-9.4962769337501723E-3</v>
      </c>
      <c r="AG96" s="3">
        <f t="shared" si="31"/>
        <v>-1.0872831971094488</v>
      </c>
      <c r="AH96" s="3">
        <f t="shared" si="32"/>
        <v>0.13845583608187909</v>
      </c>
      <c r="AI96" s="3">
        <f t="shared" si="33"/>
        <v>0.86154416391812094</v>
      </c>
      <c r="AJ96" s="20" t="str">
        <f t="shared" si="34"/>
        <v>Put</v>
      </c>
      <c r="AK96" s="20">
        <f t="shared" si="35"/>
        <v>351.49999990332481</v>
      </c>
      <c r="AL96" s="3">
        <f t="shared" si="36"/>
        <v>351.49999990332481</v>
      </c>
      <c r="AM96" s="3">
        <f t="shared" si="37"/>
        <v>351.5</v>
      </c>
      <c r="AN96" s="5">
        <f t="shared" si="38"/>
        <v>350.68012929999998</v>
      </c>
      <c r="AO96" s="5">
        <f t="shared" si="39"/>
        <v>9.6675194072304294E-8</v>
      </c>
      <c r="AP96" s="5">
        <f t="shared" si="40"/>
        <v>-1.0228216579364817</v>
      </c>
      <c r="AQ96" s="5">
        <f t="shared" si="41"/>
        <v>-1.0872831971094488</v>
      </c>
      <c r="AR96" s="5">
        <f t="shared" si="42"/>
        <v>351.5</v>
      </c>
      <c r="AS96" s="5">
        <f t="shared" si="43"/>
        <v>350.68012929999998</v>
      </c>
    </row>
    <row r="97" spans="1:45" x14ac:dyDescent="0.25">
      <c r="A97" s="1">
        <v>45322.666666666664</v>
      </c>
      <c r="B97">
        <v>20240216</v>
      </c>
      <c r="C97">
        <v>4663.5</v>
      </c>
      <c r="D97">
        <v>4648.2287960000003</v>
      </c>
      <c r="E97" t="s">
        <v>42</v>
      </c>
      <c r="F97">
        <v>5025</v>
      </c>
      <c r="G97">
        <v>10</v>
      </c>
      <c r="H97" t="s">
        <v>41</v>
      </c>
      <c r="I97" s="3">
        <v>0.3</v>
      </c>
      <c r="J97" s="3">
        <v>0.5</v>
      </c>
      <c r="K97" s="5">
        <v>16.0037883</v>
      </c>
      <c r="L97" s="5">
        <v>0.64329366399999999</v>
      </c>
      <c r="M97" s="5">
        <v>0.37239962900000001</v>
      </c>
      <c r="N97" s="5">
        <v>7.6695230000000001E-3</v>
      </c>
      <c r="O97" s="5">
        <v>0.19609821399999999</v>
      </c>
      <c r="P97" s="12">
        <v>6.9250804236215495E-5</v>
      </c>
      <c r="Q97" s="5">
        <v>-7.6535662000000004E-2</v>
      </c>
      <c r="R97">
        <v>0</v>
      </c>
      <c r="S97" t="b">
        <v>1</v>
      </c>
      <c r="T97" s="1">
        <v>45322.666666666664</v>
      </c>
      <c r="U97" s="1">
        <v>45338.666666666664</v>
      </c>
      <c r="V97" s="3">
        <f t="shared" si="22"/>
        <v>4.3835616438356165E-2</v>
      </c>
      <c r="W97">
        <v>3.7900000000000003E-2</v>
      </c>
      <c r="X97" s="7">
        <v>0.14933888446629917</v>
      </c>
      <c r="Y97" s="3">
        <f t="shared" si="23"/>
        <v>-7.4659214760358264E-2</v>
      </c>
      <c r="Z97" s="9">
        <f t="shared" si="24"/>
        <v>4.9051051206819331E-2</v>
      </c>
      <c r="AA97" s="3">
        <f t="shared" si="25"/>
        <v>4.3835616438356165E-2</v>
      </c>
      <c r="AB97" s="3">
        <f t="shared" si="26"/>
        <v>3.1267017881038819E-2</v>
      </c>
      <c r="AC97" s="3">
        <f t="shared" si="27"/>
        <v>-2.3190261370506153</v>
      </c>
      <c r="AD97" s="3">
        <f t="shared" si="28"/>
        <v>1.0196809586060429E-2</v>
      </c>
      <c r="AE97" s="3">
        <f t="shared" si="29"/>
        <v>0.9898031904139396</v>
      </c>
      <c r="AF97" s="3">
        <f t="shared" si="30"/>
        <v>2.6748948793180675E-2</v>
      </c>
      <c r="AG97" s="3">
        <f t="shared" si="31"/>
        <v>-2.3502931549316539</v>
      </c>
      <c r="AH97" s="3">
        <f t="shared" si="32"/>
        <v>9.3793152353417852E-3</v>
      </c>
      <c r="AI97" s="3">
        <f t="shared" si="33"/>
        <v>0.99062068476465825</v>
      </c>
      <c r="AJ97" s="20">
        <f t="shared" si="34"/>
        <v>0.49999955974438137</v>
      </c>
      <c r="AK97" s="20" t="str">
        <f t="shared" si="35"/>
        <v>Call</v>
      </c>
      <c r="AL97" s="3">
        <f t="shared" si="36"/>
        <v>0.49999955974438137</v>
      </c>
      <c r="AM97" s="3">
        <f t="shared" si="37"/>
        <v>0.5</v>
      </c>
      <c r="AN97" s="5">
        <f t="shared" si="38"/>
        <v>0.37239962900000001</v>
      </c>
      <c r="AO97" s="5">
        <f t="shared" si="39"/>
        <v>4.4025561862781615E-7</v>
      </c>
      <c r="AP97" s="5">
        <f t="shared" si="40"/>
        <v>-2.3190261370506153</v>
      </c>
      <c r="AQ97" s="5">
        <f t="shared" si="41"/>
        <v>-2.3502931549316539</v>
      </c>
      <c r="AR97" s="5">
        <f t="shared" si="42"/>
        <v>0.5</v>
      </c>
      <c r="AS97" s="5">
        <f t="shared" si="43"/>
        <v>0.37239962900000001</v>
      </c>
    </row>
    <row r="98" spans="1:45" x14ac:dyDescent="0.25">
      <c r="A98" s="1">
        <v>45322.666666666664</v>
      </c>
      <c r="B98">
        <v>20240216</v>
      </c>
      <c r="C98">
        <v>4663.5</v>
      </c>
      <c r="D98">
        <v>4648.2287960000003</v>
      </c>
      <c r="E98" t="s">
        <v>40</v>
      </c>
      <c r="F98">
        <v>5025</v>
      </c>
      <c r="G98">
        <v>10</v>
      </c>
      <c r="H98" t="s">
        <v>41</v>
      </c>
      <c r="I98" s="3">
        <v>374.4</v>
      </c>
      <c r="J98" s="3">
        <v>376.5</v>
      </c>
      <c r="K98" s="5">
        <v>16.0037883</v>
      </c>
      <c r="L98" s="5">
        <v>0.64329366399999999</v>
      </c>
      <c r="M98" s="5">
        <v>375.55140419999998</v>
      </c>
      <c r="N98" s="5">
        <v>-0.98750423099999995</v>
      </c>
      <c r="O98" s="5">
        <v>0.19609821399999999</v>
      </c>
      <c r="P98" s="12">
        <v>6.9250804236216105E-5</v>
      </c>
      <c r="Q98" s="5">
        <v>-7.6535662000000004E-2</v>
      </c>
      <c r="R98">
        <v>0</v>
      </c>
      <c r="S98" t="b">
        <v>1</v>
      </c>
      <c r="T98" s="1">
        <v>45322.666666666664</v>
      </c>
      <c r="U98" s="1">
        <v>45338.666666666664</v>
      </c>
      <c r="V98" s="3">
        <f t="shared" si="22"/>
        <v>4.3835616438356165E-2</v>
      </c>
      <c r="W98">
        <v>3.7900000000000003E-2</v>
      </c>
      <c r="X98" s="7">
        <v>0.32289664524748929</v>
      </c>
      <c r="Y98" s="3">
        <f t="shared" si="23"/>
        <v>-7.4659214760358264E-2</v>
      </c>
      <c r="Z98" s="9">
        <f t="shared" si="24"/>
        <v>9.0031121756041471E-2</v>
      </c>
      <c r="AA98" s="3">
        <f t="shared" si="25"/>
        <v>4.3835616438356165E-2</v>
      </c>
      <c r="AB98" s="3">
        <f t="shared" si="26"/>
        <v>6.7604731458664608E-2</v>
      </c>
      <c r="AC98" s="3">
        <f t="shared" si="27"/>
        <v>-1.0459718353112775</v>
      </c>
      <c r="AD98" s="3">
        <f t="shared" si="28"/>
        <v>0.14778701804808819</v>
      </c>
      <c r="AE98" s="3">
        <f t="shared" si="29"/>
        <v>0.85221298195191175</v>
      </c>
      <c r="AF98" s="3">
        <f t="shared" si="30"/>
        <v>-1.4231121756041472E-2</v>
      </c>
      <c r="AG98" s="3">
        <f t="shared" si="31"/>
        <v>-1.1135765667699424</v>
      </c>
      <c r="AH98" s="3">
        <f t="shared" si="32"/>
        <v>0.13273044199465234</v>
      </c>
      <c r="AI98" s="3">
        <f t="shared" si="33"/>
        <v>0.86726955800534766</v>
      </c>
      <c r="AJ98" s="20" t="str">
        <f t="shared" si="34"/>
        <v>Put</v>
      </c>
      <c r="AK98" s="20">
        <f t="shared" si="35"/>
        <v>376.49999980044413</v>
      </c>
      <c r="AL98" s="3">
        <f t="shared" si="36"/>
        <v>376.49999980044413</v>
      </c>
      <c r="AM98" s="3">
        <f t="shared" si="37"/>
        <v>376.5</v>
      </c>
      <c r="AN98" s="5">
        <f t="shared" si="38"/>
        <v>375.55140419999998</v>
      </c>
      <c r="AO98" s="5">
        <f t="shared" si="39"/>
        <v>1.9955587049480528E-7</v>
      </c>
      <c r="AP98" s="5">
        <f t="shared" si="40"/>
        <v>-1.0459718353112775</v>
      </c>
      <c r="AQ98" s="5">
        <f t="shared" si="41"/>
        <v>-1.1135765667699424</v>
      </c>
      <c r="AR98" s="5">
        <f t="shared" si="42"/>
        <v>376.5</v>
      </c>
      <c r="AS98" s="5">
        <f t="shared" si="43"/>
        <v>375.55140419999998</v>
      </c>
    </row>
    <row r="99" spans="1:45" x14ac:dyDescent="0.25">
      <c r="A99" s="1">
        <v>45322.666666666664</v>
      </c>
      <c r="B99">
        <v>20240216</v>
      </c>
      <c r="C99">
        <v>4663.5</v>
      </c>
      <c r="D99">
        <v>4648.2287960000003</v>
      </c>
      <c r="E99" t="s">
        <v>42</v>
      </c>
      <c r="F99">
        <v>5050</v>
      </c>
      <c r="G99">
        <v>10</v>
      </c>
      <c r="H99" t="s">
        <v>41</v>
      </c>
      <c r="I99" s="3">
        <v>0.2</v>
      </c>
      <c r="J99" s="3">
        <v>0.4</v>
      </c>
      <c r="K99" s="5">
        <v>16.543110039999998</v>
      </c>
      <c r="L99" s="5">
        <v>0.64329366399999999</v>
      </c>
      <c r="M99" s="5">
        <v>0.310091905</v>
      </c>
      <c r="N99" s="5">
        <v>6.3015010000000002E-3</v>
      </c>
      <c r="O99" s="5">
        <v>0.16487549000000001</v>
      </c>
      <c r="P99" s="12">
        <v>5.18214146579074E-5</v>
      </c>
      <c r="Q99" s="5">
        <v>-6.1197968999999998E-2</v>
      </c>
      <c r="R99">
        <v>0</v>
      </c>
      <c r="S99" t="b">
        <v>1</v>
      </c>
      <c r="T99" s="1">
        <v>45322.666666666664</v>
      </c>
      <c r="U99" s="1">
        <v>45338.666666666664</v>
      </c>
      <c r="V99" s="3">
        <f t="shared" si="22"/>
        <v>4.3835616438356165E-2</v>
      </c>
      <c r="W99">
        <v>3.7900000000000003E-2</v>
      </c>
      <c r="X99" s="7">
        <v>0.15386786051098841</v>
      </c>
      <c r="Y99" s="3">
        <f t="shared" si="23"/>
        <v>-7.9622004102487265E-2</v>
      </c>
      <c r="Z99" s="9">
        <f t="shared" si="24"/>
        <v>4.9737659249114496E-2</v>
      </c>
      <c r="AA99" s="3">
        <f t="shared" si="25"/>
        <v>4.3835616438356165E-2</v>
      </c>
      <c r="AB99" s="3">
        <f t="shared" si="26"/>
        <v>3.2215247643690159E-2</v>
      </c>
      <c r="AC99" s="3">
        <f t="shared" si="27"/>
        <v>-2.4038841484513487</v>
      </c>
      <c r="AD99" s="3">
        <f t="shared" si="28"/>
        <v>8.1109566337887497E-3</v>
      </c>
      <c r="AE99" s="3">
        <f t="shared" si="29"/>
        <v>0.9918890433662112</v>
      </c>
      <c r="AF99" s="3">
        <f t="shared" si="30"/>
        <v>2.606234075088551E-2</v>
      </c>
      <c r="AG99" s="3">
        <f t="shared" si="31"/>
        <v>-2.4360993960950386</v>
      </c>
      <c r="AH99" s="3">
        <f t="shared" si="32"/>
        <v>7.4233021504204509E-3</v>
      </c>
      <c r="AI99" s="3">
        <f t="shared" si="33"/>
        <v>0.99257669784957958</v>
      </c>
      <c r="AJ99" s="20">
        <f t="shared" si="34"/>
        <v>0.39999958979610994</v>
      </c>
      <c r="AK99" s="20" t="str">
        <f t="shared" si="35"/>
        <v>Call</v>
      </c>
      <c r="AL99" s="3">
        <f t="shared" si="36"/>
        <v>0.39999958979610994</v>
      </c>
      <c r="AM99" s="3">
        <f t="shared" si="37"/>
        <v>0.4</v>
      </c>
      <c r="AN99" s="5">
        <f t="shared" si="38"/>
        <v>0.310091905</v>
      </c>
      <c r="AO99" s="5">
        <f t="shared" si="39"/>
        <v>4.1020389007773161E-7</v>
      </c>
      <c r="AP99" s="5">
        <f t="shared" si="40"/>
        <v>-2.4038841484513487</v>
      </c>
      <c r="AQ99" s="5">
        <f t="shared" si="41"/>
        <v>-2.4360993960950386</v>
      </c>
      <c r="AR99" s="5">
        <f t="shared" si="42"/>
        <v>0.4</v>
      </c>
      <c r="AS99" s="5">
        <f t="shared" si="43"/>
        <v>0.310091905</v>
      </c>
    </row>
    <row r="100" spans="1:45" x14ac:dyDescent="0.25">
      <c r="A100" s="1">
        <v>45322.666666666664</v>
      </c>
      <c r="B100">
        <v>20240216</v>
      </c>
      <c r="C100">
        <v>4663.5</v>
      </c>
      <c r="D100">
        <v>4648.2287960000003</v>
      </c>
      <c r="E100" t="s">
        <v>40</v>
      </c>
      <c r="F100">
        <v>5050</v>
      </c>
      <c r="G100">
        <v>10</v>
      </c>
      <c r="H100" t="s">
        <v>41</v>
      </c>
      <c r="I100" s="3">
        <v>399.3</v>
      </c>
      <c r="J100" s="3">
        <v>401.4</v>
      </c>
      <c r="K100" s="5">
        <v>16.543110039999998</v>
      </c>
      <c r="L100" s="5">
        <v>0.64329366399999999</v>
      </c>
      <c r="M100" s="5">
        <v>400.44517509999997</v>
      </c>
      <c r="N100" s="5">
        <v>-0.98887225400000001</v>
      </c>
      <c r="O100" s="5">
        <v>0.16487549000000001</v>
      </c>
      <c r="P100" s="12">
        <v>5.1821414657903897E-5</v>
      </c>
      <c r="Q100" s="5">
        <v>-6.1197968999999998E-2</v>
      </c>
      <c r="R100">
        <v>0</v>
      </c>
      <c r="S100" t="b">
        <v>1</v>
      </c>
      <c r="T100" s="1">
        <v>45322.666666666664</v>
      </c>
      <c r="U100" s="1">
        <v>45338.666666666664</v>
      </c>
      <c r="V100" s="3">
        <f t="shared" si="22"/>
        <v>4.3835616438356165E-2</v>
      </c>
      <c r="W100">
        <v>3.7900000000000003E-2</v>
      </c>
      <c r="X100" s="7">
        <v>0.33719825805613912</v>
      </c>
      <c r="Y100" s="3">
        <f t="shared" si="23"/>
        <v>-7.9622004102487265E-2</v>
      </c>
      <c r="Z100" s="9">
        <f t="shared" si="24"/>
        <v>9.4751332618047301E-2</v>
      </c>
      <c r="AA100" s="3">
        <f t="shared" si="25"/>
        <v>4.3835616438356165E-2</v>
      </c>
      <c r="AB100" s="3">
        <f t="shared" si="26"/>
        <v>7.0599053968932582E-2</v>
      </c>
      <c r="AC100" s="3">
        <f t="shared" si="27"/>
        <v>-1.0689735454816391</v>
      </c>
      <c r="AD100" s="3">
        <f t="shared" si="28"/>
        <v>0.14254079501122527</v>
      </c>
      <c r="AE100" s="3">
        <f t="shared" si="29"/>
        <v>0.8574592049887747</v>
      </c>
      <c r="AF100" s="3">
        <f t="shared" si="30"/>
        <v>-1.8951332618047295E-2</v>
      </c>
      <c r="AG100" s="3">
        <f t="shared" si="31"/>
        <v>-1.1395725994505714</v>
      </c>
      <c r="AH100" s="3">
        <f t="shared" si="32"/>
        <v>0.12723220311707503</v>
      </c>
      <c r="AI100" s="3">
        <f t="shared" si="33"/>
        <v>0.87276779688292494</v>
      </c>
      <c r="AJ100" s="20" t="str">
        <f t="shared" si="34"/>
        <v>Put</v>
      </c>
      <c r="AK100" s="20">
        <f t="shared" si="35"/>
        <v>401.40000099394501</v>
      </c>
      <c r="AL100" s="3">
        <f t="shared" si="36"/>
        <v>401.40000099394501</v>
      </c>
      <c r="AM100" s="3">
        <f t="shared" si="37"/>
        <v>401.4</v>
      </c>
      <c r="AN100" s="5">
        <f t="shared" si="38"/>
        <v>400.44517509999997</v>
      </c>
      <c r="AO100" s="5">
        <f t="shared" si="39"/>
        <v>-9.9394503649818944E-7</v>
      </c>
      <c r="AP100" s="5">
        <f t="shared" si="40"/>
        <v>-1.0689735454816391</v>
      </c>
      <c r="AQ100" s="5">
        <f t="shared" si="41"/>
        <v>-1.1395725994505714</v>
      </c>
      <c r="AR100" s="5">
        <f t="shared" si="42"/>
        <v>401.4</v>
      </c>
      <c r="AS100" s="5">
        <f t="shared" si="43"/>
        <v>400.44517509999997</v>
      </c>
    </row>
    <row r="101" spans="1:45" x14ac:dyDescent="0.25">
      <c r="A101" s="1">
        <v>45322.666666666664</v>
      </c>
      <c r="B101">
        <v>20240216</v>
      </c>
      <c r="C101">
        <v>4663.5</v>
      </c>
      <c r="D101">
        <v>4648.2287960000003</v>
      </c>
      <c r="E101" t="s">
        <v>42</v>
      </c>
      <c r="F101">
        <v>5075</v>
      </c>
      <c r="G101">
        <v>10</v>
      </c>
      <c r="H101" t="s">
        <v>41</v>
      </c>
      <c r="I101" s="3">
        <v>0.2</v>
      </c>
      <c r="J101" s="3">
        <v>0.4</v>
      </c>
      <c r="K101" s="5">
        <v>17.102005819999999</v>
      </c>
      <c r="L101" s="5">
        <v>0.64329366399999999</v>
      </c>
      <c r="M101" s="5">
        <v>0.26383611000000001</v>
      </c>
      <c r="N101" s="5">
        <v>5.2767589999999998E-3</v>
      </c>
      <c r="O101" s="5">
        <v>0.14085283300000001</v>
      </c>
      <c r="P101" s="12">
        <v>3.9176627024041798E-5</v>
      </c>
      <c r="Q101" s="5">
        <v>-4.9444109999999999E-2</v>
      </c>
      <c r="R101">
        <v>0</v>
      </c>
      <c r="S101" t="b">
        <v>1</v>
      </c>
      <c r="T101" s="1">
        <v>45322.666666666664</v>
      </c>
      <c r="U101" s="1">
        <v>45338.666666666664</v>
      </c>
      <c r="V101" s="3">
        <f t="shared" si="22"/>
        <v>4.3835616438356165E-2</v>
      </c>
      <c r="W101">
        <v>3.7900000000000003E-2</v>
      </c>
      <c r="X101" s="7">
        <v>0.16237203705404635</v>
      </c>
      <c r="Y101" s="3">
        <f t="shared" si="23"/>
        <v>-8.4560285743069855E-2</v>
      </c>
      <c r="Z101" s="9">
        <f t="shared" si="24"/>
        <v>5.1082339208540301E-2</v>
      </c>
      <c r="AA101" s="3">
        <f t="shared" si="25"/>
        <v>4.3835616438356165E-2</v>
      </c>
      <c r="AB101" s="3">
        <f t="shared" si="26"/>
        <v>3.3995763421516986E-2</v>
      </c>
      <c r="AC101" s="3">
        <f t="shared" si="27"/>
        <v>-2.4215093773316085</v>
      </c>
      <c r="AD101" s="3">
        <f t="shared" si="28"/>
        <v>7.7281011286769305E-3</v>
      </c>
      <c r="AE101" s="3">
        <f t="shared" si="29"/>
        <v>0.99227189887132305</v>
      </c>
      <c r="AF101" s="3">
        <f t="shared" si="30"/>
        <v>2.4717660791459702E-2</v>
      </c>
      <c r="AG101" s="3">
        <f t="shared" si="31"/>
        <v>-2.4555051407531261</v>
      </c>
      <c r="AH101" s="3">
        <f t="shared" si="32"/>
        <v>7.0343370260642218E-3</v>
      </c>
      <c r="AI101" s="3">
        <f t="shared" si="33"/>
        <v>0.99296566297393574</v>
      </c>
      <c r="AJ101" s="20">
        <f t="shared" si="34"/>
        <v>0.39999964130044674</v>
      </c>
      <c r="AK101" s="20" t="str">
        <f t="shared" si="35"/>
        <v>Call</v>
      </c>
      <c r="AL101" s="3">
        <f t="shared" si="36"/>
        <v>0.39999964130044674</v>
      </c>
      <c r="AM101" s="3">
        <f t="shared" si="37"/>
        <v>0.4</v>
      </c>
      <c r="AN101" s="5">
        <f t="shared" si="38"/>
        <v>0.26383611000000001</v>
      </c>
      <c r="AO101" s="5">
        <f t="shared" si="39"/>
        <v>3.5869955328227121E-7</v>
      </c>
      <c r="AP101" s="5">
        <f t="shared" si="40"/>
        <v>-2.4215093773316085</v>
      </c>
      <c r="AQ101" s="5">
        <f t="shared" si="41"/>
        <v>-2.4555051407531261</v>
      </c>
      <c r="AR101" s="5">
        <f t="shared" si="42"/>
        <v>0.4</v>
      </c>
      <c r="AS101" s="5">
        <f t="shared" si="43"/>
        <v>0.26383611000000001</v>
      </c>
    </row>
    <row r="102" spans="1:45" x14ac:dyDescent="0.25">
      <c r="A102" s="1">
        <v>45322.666666666664</v>
      </c>
      <c r="B102">
        <v>20240216</v>
      </c>
      <c r="C102">
        <v>4663.5</v>
      </c>
      <c r="D102">
        <v>4648.2287960000003</v>
      </c>
      <c r="E102" t="s">
        <v>40</v>
      </c>
      <c r="F102">
        <v>5075</v>
      </c>
      <c r="G102">
        <v>10</v>
      </c>
      <c r="H102" t="s">
        <v>41</v>
      </c>
      <c r="I102" s="3">
        <v>424.2</v>
      </c>
      <c r="J102" s="3">
        <v>426.3</v>
      </c>
      <c r="K102" s="5">
        <v>17.102005819999999</v>
      </c>
      <c r="L102" s="5">
        <v>0.64329366399999999</v>
      </c>
      <c r="M102" s="5">
        <v>425.35499800000002</v>
      </c>
      <c r="N102" s="5">
        <v>-0.98989699499999995</v>
      </c>
      <c r="O102" s="5">
        <v>0.14085283300000001</v>
      </c>
      <c r="P102" s="12">
        <v>3.9176627024041899E-5</v>
      </c>
      <c r="Q102" s="5">
        <v>-4.9444109999999999E-2</v>
      </c>
      <c r="R102">
        <v>0</v>
      </c>
      <c r="S102" t="b">
        <v>1</v>
      </c>
      <c r="T102" s="1">
        <v>45322.666666666664</v>
      </c>
      <c r="U102" s="1">
        <v>45338.666666666664</v>
      </c>
      <c r="V102" s="3">
        <f t="shared" si="22"/>
        <v>4.3835616438356165E-2</v>
      </c>
      <c r="W102">
        <v>3.7900000000000003E-2</v>
      </c>
      <c r="X102" s="7">
        <v>0.3512405315439629</v>
      </c>
      <c r="Y102" s="3">
        <f t="shared" si="23"/>
        <v>-8.4560285743069855E-2</v>
      </c>
      <c r="Z102" s="9">
        <f t="shared" si="24"/>
        <v>9.9584955499642802E-2</v>
      </c>
      <c r="AA102" s="3">
        <f t="shared" si="25"/>
        <v>4.3835616438356165E-2</v>
      </c>
      <c r="AB102" s="3">
        <f t="shared" si="26"/>
        <v>7.3539078717365092E-2</v>
      </c>
      <c r="AC102" s="3">
        <f t="shared" si="27"/>
        <v>-1.0905075128690724</v>
      </c>
      <c r="AD102" s="3">
        <f t="shared" si="28"/>
        <v>0.13774482285037895</v>
      </c>
      <c r="AE102" s="3">
        <f t="shared" si="29"/>
        <v>0.86225517714962108</v>
      </c>
      <c r="AF102" s="3">
        <f t="shared" si="30"/>
        <v>-2.3784955499642796E-2</v>
      </c>
      <c r="AG102" s="3">
        <f t="shared" si="31"/>
        <v>-1.1640465915864375</v>
      </c>
      <c r="AH102" s="3">
        <f t="shared" si="32"/>
        <v>0.12220256541077484</v>
      </c>
      <c r="AI102" s="3">
        <f t="shared" si="33"/>
        <v>0.87779743458922521</v>
      </c>
      <c r="AJ102" s="20" t="str">
        <f t="shared" si="34"/>
        <v>Put</v>
      </c>
      <c r="AK102" s="20">
        <f t="shared" si="35"/>
        <v>426.29999950426691</v>
      </c>
      <c r="AL102" s="3">
        <f t="shared" si="36"/>
        <v>426.29999950426691</v>
      </c>
      <c r="AM102" s="3">
        <f t="shared" si="37"/>
        <v>426.3</v>
      </c>
      <c r="AN102" s="5">
        <f t="shared" si="38"/>
        <v>425.35499800000002</v>
      </c>
      <c r="AO102" s="5">
        <f t="shared" si="39"/>
        <v>4.9573310434425366E-7</v>
      </c>
      <c r="AP102" s="5">
        <f t="shared" si="40"/>
        <v>-1.0905075128690724</v>
      </c>
      <c r="AQ102" s="5">
        <f t="shared" si="41"/>
        <v>-1.1640465915864375</v>
      </c>
      <c r="AR102" s="5">
        <f t="shared" si="42"/>
        <v>426.3</v>
      </c>
      <c r="AS102" s="5">
        <f t="shared" si="43"/>
        <v>425.35499800000002</v>
      </c>
    </row>
    <row r="103" spans="1:45" x14ac:dyDescent="0.25">
      <c r="A103" s="1">
        <v>45322.666666666664</v>
      </c>
      <c r="B103">
        <v>20240216</v>
      </c>
      <c r="C103">
        <v>4663.5</v>
      </c>
      <c r="D103">
        <v>4648.2287960000003</v>
      </c>
      <c r="E103" t="s">
        <v>42</v>
      </c>
      <c r="F103">
        <v>5100</v>
      </c>
      <c r="G103">
        <v>10</v>
      </c>
      <c r="H103" t="s">
        <v>41</v>
      </c>
      <c r="I103" s="3">
        <v>0.1</v>
      </c>
      <c r="J103" s="3">
        <v>0.3</v>
      </c>
      <c r="K103" s="5">
        <v>17.680174269999998</v>
      </c>
      <c r="L103" s="5">
        <v>0.64329366399999999</v>
      </c>
      <c r="M103" s="5">
        <v>0.229204353</v>
      </c>
      <c r="N103" s="5">
        <v>4.501499E-3</v>
      </c>
      <c r="O103" s="5">
        <v>0.122255369</v>
      </c>
      <c r="P103" s="12">
        <v>2.99002846375167E-5</v>
      </c>
      <c r="Q103" s="5">
        <v>-4.0331263999999999E-2</v>
      </c>
      <c r="R103">
        <v>0</v>
      </c>
      <c r="S103" t="b">
        <v>1</v>
      </c>
      <c r="T103" s="1">
        <v>45322.666666666664</v>
      </c>
      <c r="U103" s="1">
        <v>45338.666666666664</v>
      </c>
      <c r="V103" s="3">
        <f t="shared" si="22"/>
        <v>4.3835616438356165E-2</v>
      </c>
      <c r="W103">
        <v>3.7900000000000003E-2</v>
      </c>
      <c r="X103" s="7">
        <v>0.16524606770950218</v>
      </c>
      <c r="Y103" s="3">
        <f t="shared" si="23"/>
        <v>-8.947430054549893E-2</v>
      </c>
      <c r="Z103" s="9">
        <f t="shared" si="24"/>
        <v>5.1553131446726692E-2</v>
      </c>
      <c r="AA103" s="3">
        <f t="shared" si="25"/>
        <v>4.3835616438356165E-2</v>
      </c>
      <c r="AB103" s="3">
        <f t="shared" si="26"/>
        <v>3.459749798124627E-2</v>
      </c>
      <c r="AC103" s="3">
        <f t="shared" si="27"/>
        <v>-2.5208307634407277</v>
      </c>
      <c r="AD103" s="3">
        <f t="shared" si="28"/>
        <v>5.8539072929953391E-3</v>
      </c>
      <c r="AE103" s="3">
        <f t="shared" si="29"/>
        <v>0.99414609270700471</v>
      </c>
      <c r="AF103" s="3">
        <f t="shared" si="30"/>
        <v>2.4246868553273314E-2</v>
      </c>
      <c r="AG103" s="3">
        <f t="shared" si="31"/>
        <v>-2.5554282614219739</v>
      </c>
      <c r="AH103" s="3">
        <f t="shared" si="32"/>
        <v>5.302861017069462E-3</v>
      </c>
      <c r="AI103" s="3">
        <f t="shared" si="33"/>
        <v>0.99469713898293055</v>
      </c>
      <c r="AJ103" s="20">
        <f t="shared" si="34"/>
        <v>0.29999923968426501</v>
      </c>
      <c r="AK103" s="20" t="str">
        <f t="shared" si="35"/>
        <v>Call</v>
      </c>
      <c r="AL103" s="3">
        <f t="shared" si="36"/>
        <v>0.29999923968426501</v>
      </c>
      <c r="AM103" s="3">
        <f t="shared" si="37"/>
        <v>0.3</v>
      </c>
      <c r="AN103" s="5">
        <f t="shared" si="38"/>
        <v>0.229204353</v>
      </c>
      <c r="AO103" s="5">
        <f t="shared" si="39"/>
        <v>7.6031573498225313E-7</v>
      </c>
      <c r="AP103" s="5">
        <f t="shared" si="40"/>
        <v>-2.5208307634407277</v>
      </c>
      <c r="AQ103" s="5">
        <f t="shared" si="41"/>
        <v>-2.5554282614219739</v>
      </c>
      <c r="AR103" s="5">
        <f t="shared" si="42"/>
        <v>0.3</v>
      </c>
      <c r="AS103" s="5">
        <f t="shared" si="43"/>
        <v>0.229204353</v>
      </c>
    </row>
    <row r="104" spans="1:45" x14ac:dyDescent="0.25">
      <c r="A104" s="1">
        <v>45322.666666666664</v>
      </c>
      <c r="B104">
        <v>20240216</v>
      </c>
      <c r="C104">
        <v>4663.5</v>
      </c>
      <c r="D104">
        <v>4648.2287960000003</v>
      </c>
      <c r="E104" t="s">
        <v>40</v>
      </c>
      <c r="F104">
        <v>5100</v>
      </c>
      <c r="G104">
        <v>10</v>
      </c>
      <c r="H104" t="s">
        <v>41</v>
      </c>
      <c r="I104" s="3">
        <v>449.1</v>
      </c>
      <c r="J104" s="3">
        <v>451.2</v>
      </c>
      <c r="K104" s="5">
        <v>17.680174269999998</v>
      </c>
      <c r="L104" s="5">
        <v>0.64329366399999999</v>
      </c>
      <c r="M104" s="5">
        <v>450.2764449</v>
      </c>
      <c r="N104" s="5">
        <v>-0.99067225599999997</v>
      </c>
      <c r="O104" s="5">
        <v>0.122255369</v>
      </c>
      <c r="P104" s="12">
        <v>2.99002846375196E-5</v>
      </c>
      <c r="Q104" s="5">
        <v>-4.0331263999999999E-2</v>
      </c>
      <c r="R104">
        <v>0</v>
      </c>
      <c r="S104" t="b">
        <v>1</v>
      </c>
      <c r="T104" s="1">
        <v>45322.666666666664</v>
      </c>
      <c r="U104" s="1">
        <v>45338.666666666664</v>
      </c>
      <c r="V104" s="3">
        <f t="shared" si="22"/>
        <v>4.3835616438356165E-2</v>
      </c>
      <c r="W104">
        <v>3.7900000000000003E-2</v>
      </c>
      <c r="X104" s="7">
        <v>0.36503989812776111</v>
      </c>
      <c r="Y104" s="3">
        <f t="shared" si="23"/>
        <v>-8.947430054549893E-2</v>
      </c>
      <c r="Z104" s="9">
        <f t="shared" si="24"/>
        <v>0.1045270636125631</v>
      </c>
      <c r="AA104" s="3">
        <f t="shared" si="25"/>
        <v>4.3835616438356165E-2</v>
      </c>
      <c r="AB104" s="3">
        <f t="shared" si="26"/>
        <v>7.6428246151985887E-2</v>
      </c>
      <c r="AC104" s="3">
        <f t="shared" si="27"/>
        <v>-1.110745000071484</v>
      </c>
      <c r="AD104" s="3">
        <f t="shared" si="28"/>
        <v>0.13333906326287734</v>
      </c>
      <c r="AE104" s="3">
        <f t="shared" si="29"/>
        <v>0.86666093673712263</v>
      </c>
      <c r="AF104" s="3">
        <f t="shared" si="30"/>
        <v>-2.8727063612563095E-2</v>
      </c>
      <c r="AG104" s="3">
        <f t="shared" si="31"/>
        <v>-1.1871732462234699</v>
      </c>
      <c r="AH104" s="3">
        <f t="shared" si="32"/>
        <v>0.11757964572334027</v>
      </c>
      <c r="AI104" s="3">
        <f t="shared" si="33"/>
        <v>0.88242035427665977</v>
      </c>
      <c r="AJ104" s="20" t="str">
        <f t="shared" si="34"/>
        <v>Put</v>
      </c>
      <c r="AK104" s="20">
        <f t="shared" si="35"/>
        <v>451.20000013707886</v>
      </c>
      <c r="AL104" s="3">
        <f t="shared" si="36"/>
        <v>451.20000013707886</v>
      </c>
      <c r="AM104" s="3">
        <f t="shared" si="37"/>
        <v>451.2</v>
      </c>
      <c r="AN104" s="5">
        <f t="shared" si="38"/>
        <v>450.2764449</v>
      </c>
      <c r="AO104" s="5">
        <f t="shared" si="39"/>
        <v>-1.3707887092095916E-7</v>
      </c>
      <c r="AP104" s="5">
        <f t="shared" si="40"/>
        <v>-1.110745000071484</v>
      </c>
      <c r="AQ104" s="5">
        <f t="shared" si="41"/>
        <v>-1.1871732462234699</v>
      </c>
      <c r="AR104" s="5">
        <f t="shared" si="42"/>
        <v>451.2</v>
      </c>
      <c r="AS104" s="5">
        <f t="shared" si="43"/>
        <v>450.2764449</v>
      </c>
    </row>
    <row r="105" spans="1:45" x14ac:dyDescent="0.25">
      <c r="A105" s="1">
        <v>45322.666666666664</v>
      </c>
      <c r="B105">
        <v>20240216</v>
      </c>
      <c r="C105">
        <v>4663.5</v>
      </c>
      <c r="D105">
        <v>4648.2287960000003</v>
      </c>
      <c r="E105" t="s">
        <v>42</v>
      </c>
      <c r="F105">
        <v>5125</v>
      </c>
      <c r="G105">
        <v>10</v>
      </c>
      <c r="H105" t="s">
        <v>41</v>
      </c>
      <c r="I105" s="3">
        <v>0.1</v>
      </c>
      <c r="J105" s="3">
        <v>0.3</v>
      </c>
      <c r="K105" s="5">
        <v>18.27731949</v>
      </c>
      <c r="L105" s="5">
        <v>0.64329366399999999</v>
      </c>
      <c r="M105" s="5">
        <v>0.20312529100000001</v>
      </c>
      <c r="N105" s="5">
        <v>3.9097009999999998E-3</v>
      </c>
      <c r="O105" s="5">
        <v>0.10777587299999999</v>
      </c>
      <c r="P105" s="12">
        <v>2.6014505251736799E-5</v>
      </c>
      <c r="Q105" s="5">
        <v>-3.7500235999999999E-2</v>
      </c>
      <c r="R105">
        <v>0</v>
      </c>
      <c r="S105" t="b">
        <v>1</v>
      </c>
      <c r="T105" s="1">
        <v>45322.666666666664</v>
      </c>
      <c r="U105" s="1">
        <v>45338.666666666664</v>
      </c>
      <c r="V105" s="3">
        <f t="shared" si="22"/>
        <v>4.3835616438356165E-2</v>
      </c>
      <c r="W105">
        <v>3.7900000000000003E-2</v>
      </c>
      <c r="X105" s="7">
        <v>0.17335269647297499</v>
      </c>
      <c r="Y105" s="3">
        <f t="shared" si="23"/>
        <v>-9.4364285839690698E-2</v>
      </c>
      <c r="Z105" s="9">
        <f t="shared" si="24"/>
        <v>5.2925578687225701E-2</v>
      </c>
      <c r="AA105" s="3">
        <f t="shared" si="25"/>
        <v>4.3835616438356165E-2</v>
      </c>
      <c r="AB105" s="3">
        <f t="shared" si="26"/>
        <v>3.629477935179011E-2</v>
      </c>
      <c r="AC105" s="3">
        <f t="shared" si="27"/>
        <v>-2.5360192875243279</v>
      </c>
      <c r="AD105" s="3">
        <f t="shared" si="28"/>
        <v>5.6060279331306166E-3</v>
      </c>
      <c r="AE105" s="3">
        <f t="shared" si="29"/>
        <v>0.99439397206686941</v>
      </c>
      <c r="AF105" s="3">
        <f t="shared" si="30"/>
        <v>2.2874421312774305E-2</v>
      </c>
      <c r="AG105" s="3">
        <f t="shared" si="31"/>
        <v>-2.572314066876118</v>
      </c>
      <c r="AH105" s="3">
        <f t="shared" si="32"/>
        <v>5.0510601309925185E-3</v>
      </c>
      <c r="AI105" s="3">
        <f t="shared" si="33"/>
        <v>0.99494893986900745</v>
      </c>
      <c r="AJ105" s="20">
        <f t="shared" si="34"/>
        <v>0.29999974430648635</v>
      </c>
      <c r="AK105" s="20" t="str">
        <f t="shared" si="35"/>
        <v>Call</v>
      </c>
      <c r="AL105" s="3">
        <f t="shared" si="36"/>
        <v>0.29999974430648635</v>
      </c>
      <c r="AM105" s="3">
        <f t="shared" si="37"/>
        <v>0.3</v>
      </c>
      <c r="AN105" s="5">
        <f t="shared" si="38"/>
        <v>0.20312529100000001</v>
      </c>
      <c r="AO105" s="5">
        <f t="shared" si="39"/>
        <v>2.5569351363996518E-7</v>
      </c>
      <c r="AP105" s="5">
        <f t="shared" si="40"/>
        <v>-2.5360192875243279</v>
      </c>
      <c r="AQ105" s="5">
        <f t="shared" si="41"/>
        <v>-2.572314066876118</v>
      </c>
      <c r="AR105" s="5">
        <f t="shared" si="42"/>
        <v>0.3</v>
      </c>
      <c r="AS105" s="5">
        <f t="shared" si="43"/>
        <v>0.20312529100000001</v>
      </c>
    </row>
    <row r="106" spans="1:45" x14ac:dyDescent="0.25">
      <c r="A106" s="1">
        <v>45322.666666666664</v>
      </c>
      <c r="B106">
        <v>20240216</v>
      </c>
      <c r="C106">
        <v>4663.5</v>
      </c>
      <c r="D106">
        <v>4648.2287960000003</v>
      </c>
      <c r="E106" t="s">
        <v>40</v>
      </c>
      <c r="F106">
        <v>5125</v>
      </c>
      <c r="G106">
        <v>10</v>
      </c>
      <c r="H106" t="s">
        <v>41</v>
      </c>
      <c r="I106" s="3">
        <v>474</v>
      </c>
      <c r="J106" s="3">
        <v>476.1</v>
      </c>
      <c r="K106" s="5">
        <v>18.27731949</v>
      </c>
      <c r="L106" s="5">
        <v>0.64329366399999999</v>
      </c>
      <c r="M106" s="5">
        <v>475.20644449999998</v>
      </c>
      <c r="N106" s="5">
        <v>-0.99126405399999995</v>
      </c>
      <c r="O106" s="5">
        <v>0.10777587299999999</v>
      </c>
      <c r="P106" s="12">
        <v>2.6014505251738399E-5</v>
      </c>
      <c r="Q106" s="5">
        <v>-3.7500235999999999E-2</v>
      </c>
      <c r="R106">
        <v>0</v>
      </c>
      <c r="S106" t="b">
        <v>1</v>
      </c>
      <c r="T106" s="1">
        <v>45322.666666666664</v>
      </c>
      <c r="U106" s="1">
        <v>45338.666666666664</v>
      </c>
      <c r="V106" s="3">
        <f t="shared" si="22"/>
        <v>4.3835616438356165E-2</v>
      </c>
      <c r="W106">
        <v>3.7900000000000003E-2</v>
      </c>
      <c r="X106" s="7">
        <v>0.37861071390480516</v>
      </c>
      <c r="Y106" s="3">
        <f t="shared" si="23"/>
        <v>-9.4364285839690698E-2</v>
      </c>
      <c r="Z106" s="9">
        <f t="shared" si="24"/>
        <v>0.10957303634175311</v>
      </c>
      <c r="AA106" s="3">
        <f t="shared" si="25"/>
        <v>4.3835616438356165E-2</v>
      </c>
      <c r="AB106" s="3">
        <f t="shared" si="26"/>
        <v>7.9269562002693708E-2</v>
      </c>
      <c r="AC106" s="3">
        <f t="shared" si="27"/>
        <v>-1.1298294324318849</v>
      </c>
      <c r="AD106" s="3">
        <f t="shared" si="28"/>
        <v>0.12927405182545101</v>
      </c>
      <c r="AE106" s="3">
        <f t="shared" si="29"/>
        <v>0.87072594817454896</v>
      </c>
      <c r="AF106" s="3">
        <f t="shared" si="30"/>
        <v>-3.3773036341753104E-2</v>
      </c>
      <c r="AG106" s="3">
        <f t="shared" si="31"/>
        <v>-1.2090989944345787</v>
      </c>
      <c r="AH106" s="3">
        <f t="shared" si="32"/>
        <v>0.11331240775328667</v>
      </c>
      <c r="AI106" s="3">
        <f t="shared" si="33"/>
        <v>0.88668759224671334</v>
      </c>
      <c r="AJ106" s="20" t="str">
        <f t="shared" si="34"/>
        <v>Put</v>
      </c>
      <c r="AK106" s="20">
        <f t="shared" si="35"/>
        <v>476.09999919539814</v>
      </c>
      <c r="AL106" s="3">
        <f t="shared" si="36"/>
        <v>476.09999919539814</v>
      </c>
      <c r="AM106" s="3">
        <f t="shared" si="37"/>
        <v>476.1</v>
      </c>
      <c r="AN106" s="5">
        <f t="shared" si="38"/>
        <v>475.20644449999998</v>
      </c>
      <c r="AO106" s="5">
        <f t="shared" si="39"/>
        <v>8.0460188200959237E-7</v>
      </c>
      <c r="AP106" s="5">
        <f t="shared" si="40"/>
        <v>-1.1298294324318849</v>
      </c>
      <c r="AQ106" s="5">
        <f t="shared" si="41"/>
        <v>-1.2090989944345787</v>
      </c>
      <c r="AR106" s="5">
        <f t="shared" si="42"/>
        <v>476.1</v>
      </c>
      <c r="AS106" s="5">
        <f t="shared" si="43"/>
        <v>475.20644449999998</v>
      </c>
    </row>
    <row r="1048550" spans="16384:16384" x14ac:dyDescent="0.25">
      <c r="XFD1048550">
        <f>solver_pre</f>
        <v>1.0000000000000001E-5</v>
      </c>
    </row>
    <row r="1048551" spans="16384:16384" x14ac:dyDescent="0.25">
      <c r="XFD1048551">
        <f>solver_scl</f>
        <v>2</v>
      </c>
    </row>
    <row r="1048552" spans="16384:16384" x14ac:dyDescent="0.25">
      <c r="XFD1048552">
        <f>solver_rlx</f>
        <v>2</v>
      </c>
    </row>
    <row r="1048553" spans="16384:16384" x14ac:dyDescent="0.25">
      <c r="XFD1048553">
        <f>solver_tol</f>
        <v>0.01</v>
      </c>
    </row>
    <row r="1048554" spans="16384:16384" x14ac:dyDescent="0.25">
      <c r="XFD1048554">
        <f>solver_cvg</f>
        <v>1E-4</v>
      </c>
    </row>
    <row r="1048555" spans="16384:16384" x14ac:dyDescent="0.25">
      <c r="XFD1048555" t="e" cm="1">
        <f t="array" ref="XFD1048555">AREAS(solver_adj1)</f>
        <v>#NAME?</v>
      </c>
    </row>
    <row r="1048556" spans="16384:16384" x14ac:dyDescent="0.25">
      <c r="XFD1048556">
        <f>solver_ssz</f>
        <v>100</v>
      </c>
    </row>
    <row r="1048557" spans="16384:16384" x14ac:dyDescent="0.25">
      <c r="XFD1048557">
        <f>solver_rsd</f>
        <v>0</v>
      </c>
    </row>
    <row r="1048558" spans="16384:16384" x14ac:dyDescent="0.25">
      <c r="XFD1048558">
        <f>solver_mrt</f>
        <v>7.4999999999999997E-2</v>
      </c>
    </row>
    <row r="1048559" spans="16384:16384" x14ac:dyDescent="0.25">
      <c r="XFD1048559">
        <f>solver_mni</f>
        <v>30</v>
      </c>
    </row>
    <row r="1048560" spans="16384:16384" x14ac:dyDescent="0.25">
      <c r="XFD1048560">
        <f>solver_rbv</f>
        <v>2</v>
      </c>
    </row>
    <row r="1048561" spans="16384:16384" x14ac:dyDescent="0.25">
      <c r="XFD1048561">
        <f>solver_neg</f>
        <v>1</v>
      </c>
    </row>
    <row r="1048562" spans="16384:16384" x14ac:dyDescent="0.25">
      <c r="XFD1048562" t="e" cm="1">
        <f t="array" ref="XFD1048562">solver_ntr</f>
        <v>#NAME?</v>
      </c>
    </row>
    <row r="1048563" spans="16384:16384" x14ac:dyDescent="0.25">
      <c r="XFD1048563" t="e" cm="1">
        <f t="array" ref="XFD1048563">solver_acc</f>
        <v>#NAME?</v>
      </c>
    </row>
    <row r="1048564" spans="16384:16384" x14ac:dyDescent="0.25">
      <c r="XFD1048564" t="e" cm="1">
        <f t="array" ref="XFD1048564">solver_res</f>
        <v>#NAME?</v>
      </c>
    </row>
    <row r="1048565" spans="16384:16384" x14ac:dyDescent="0.25">
      <c r="XFD1048565" t="e" cm="1">
        <f t="array" ref="XFD1048565">solver_ars</f>
        <v>#NAME?</v>
      </c>
    </row>
    <row r="1048566" spans="16384:16384" x14ac:dyDescent="0.25">
      <c r="XFD1048566" t="e" cm="1">
        <f t="array" ref="XFD1048566">solver_sta</f>
        <v>#NAME?</v>
      </c>
    </row>
    <row r="1048567" spans="16384:16384" x14ac:dyDescent="0.25">
      <c r="XFD1048567" t="e" cm="1">
        <f t="array" ref="XFD1048567">solver_met</f>
        <v>#NAME?</v>
      </c>
    </row>
    <row r="1048568" spans="16384:16384" x14ac:dyDescent="0.25">
      <c r="XFD1048568" t="e" cm="1">
        <f t="array" ref="XFD1048568">solver_soc</f>
        <v>#NAME?</v>
      </c>
    </row>
    <row r="1048569" spans="16384:16384" x14ac:dyDescent="0.25">
      <c r="XFD1048569" t="e" cm="1">
        <f t="array" ref="XFD1048569">solver_lpt</f>
        <v>#NAME?</v>
      </c>
    </row>
    <row r="1048570" spans="16384:16384" x14ac:dyDescent="0.25">
      <c r="XFD1048570" t="e" cm="1">
        <f t="array" ref="XFD1048570">solver_lpp</f>
        <v>#NAME?</v>
      </c>
    </row>
    <row r="1048571" spans="16384:16384" x14ac:dyDescent="0.25">
      <c r="XFD1048571" t="e" cm="1">
        <f t="array" ref="XFD1048571">solver_gap</f>
        <v>#NAME?</v>
      </c>
    </row>
    <row r="1048572" spans="16384:16384" x14ac:dyDescent="0.25">
      <c r="XFD1048572" t="e" cm="1">
        <f t="array" ref="XFD1048572">solver_ips</f>
        <v>#NAME?</v>
      </c>
    </row>
    <row r="1048573" spans="16384:16384" x14ac:dyDescent="0.25">
      <c r="XFD1048573" t="e" cm="1">
        <f t="array" ref="XFD1048573">solver_fea</f>
        <v>#NAME?</v>
      </c>
    </row>
    <row r="1048574" spans="16384:16384" x14ac:dyDescent="0.25">
      <c r="XFD1048574" t="e" cm="1">
        <f t="array" ref="XFD1048574">solver_ipi</f>
        <v>#NAME?</v>
      </c>
    </row>
    <row r="1048575" spans="16384:16384" x14ac:dyDescent="0.25">
      <c r="XFD1048575" t="e" cm="1">
        <f t="array" ref="XFD1048575">solver_ipd</f>
        <v>#NAME?</v>
      </c>
    </row>
  </sheetData>
  <autoFilter ref="A1:U106" xr:uid="{00000000-0009-0000-0000-000001000000}"/>
  <pageMargins left="0.7" right="0.7" top="0.75" bottom="0.75" header="0.3" footer="0.3"/>
  <extLst>
    <ext xmlns:x15="http://schemas.microsoft.com/office/spreadsheetml/2010/11/main" uri="{F7C9EE02-42E1-4005-9D12-6889AFFD525C}">
      <x15:webExtensions xmlns:xm="http://schemas.microsoft.com/office/excel/2006/main">
        <x15:webExtension appRef="{FAC3DAA3-D46C-4FDB-932F-04F7A4F5D242}">
          <xm:f>'Imp_Vol - EUROStoxx50_Options'!1:1048576</xm:f>
        </x15:webExtension>
        <x15:webExtension appRef="{B4E2461E-C4C5-47EA-B170-49BBA962F4C9}">
          <xm:f>'Imp_Vol - EUROStoxx50_Options'!XFD1048550:XFD1048575</xm:f>
        </x15:webExtension>
        <x15:webExtension appRef="{A8D58212-9D06-4EB8-BE89-4E3CD0BB8E72}">
          <xm:f>'Imp_Vol - EUROStoxx50_Options'!$AO$58</xm:f>
        </x15:webExtension>
        <x15:webExtension appRef="{62BB13E8-6D0C-464E-A183-1C8DF9BEA4E6}">
          <xm:f>'Imp_Vol - EUROStoxx50_Options'!$X$58</xm:f>
        </x15:webExtension>
      </x15:webExtens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N106"/>
  <sheetViews>
    <sheetView showGridLines="0" tabSelected="1" zoomScale="75" zoomScaleNormal="75" workbookViewId="0">
      <pane xSplit="6" ySplit="1" topLeftCell="G46" activePane="bottomRight" state="frozen"/>
      <selection pane="topRight" activeCell="G1" sqref="G1"/>
      <selection pane="bottomLeft" activeCell="A2" sqref="A2"/>
      <selection pane="bottomRight" activeCell="A106" sqref="A106"/>
    </sheetView>
  </sheetViews>
  <sheetFormatPr defaultRowHeight="15" x14ac:dyDescent="0.25"/>
  <cols>
    <col min="1" max="1" width="17.28515625" bestFit="1" customWidth="1"/>
    <col min="2" max="2" width="10.42578125" bestFit="1" customWidth="1"/>
    <col min="3" max="3" width="8" bestFit="1" customWidth="1"/>
    <col min="4" max="5" width="12.85546875" bestFit="1" customWidth="1"/>
    <col min="6" max="6" width="14.140625" bestFit="1" customWidth="1"/>
    <col min="7" max="7" width="20.42578125" bestFit="1" customWidth="1"/>
    <col min="8" max="8" width="16" bestFit="1" customWidth="1"/>
    <col min="9" max="10" width="9.85546875" bestFit="1" customWidth="1"/>
    <col min="11" max="13" width="12.85546875" style="3" bestFit="1" customWidth="1"/>
    <col min="14" max="14" width="13.42578125" style="3" bestFit="1" customWidth="1"/>
    <col min="15" max="15" width="12.85546875" style="3" bestFit="1" customWidth="1"/>
    <col min="16" max="16" width="13.28515625" style="3" bestFit="1" customWidth="1"/>
    <col min="17" max="17" width="13.42578125" style="3" bestFit="1" customWidth="1"/>
    <col min="18" max="18" width="9.42578125" bestFit="1" customWidth="1"/>
    <col min="19" max="19" width="11.5703125" bestFit="1" customWidth="1"/>
    <col min="20" max="20" width="16.7109375" bestFit="1" customWidth="1"/>
    <col min="21" max="21" width="17.28515625" bestFit="1" customWidth="1"/>
    <col min="22" max="22" width="15.7109375" style="5" bestFit="1" customWidth="1"/>
    <col min="23" max="23" width="10.42578125" bestFit="1" customWidth="1"/>
    <col min="24" max="24" width="8.7109375" customWidth="1"/>
    <col min="25" max="25" width="13.42578125" style="5" bestFit="1" customWidth="1"/>
    <col min="26" max="26" width="16.28515625" bestFit="1" customWidth="1"/>
    <col min="27" max="27" width="12.7109375" style="3" customWidth="1"/>
    <col min="28" max="28" width="15.7109375" style="3" bestFit="1" customWidth="1"/>
    <col min="29" max="31" width="12.7109375" style="3" customWidth="1"/>
    <col min="32" max="32" width="16.28515625" bestFit="1" customWidth="1"/>
    <col min="33" max="33" width="13.42578125" style="3" bestFit="1" customWidth="1"/>
    <col min="34" max="35" width="12.85546875" style="3" bestFit="1" customWidth="1"/>
    <col min="36" max="37" width="12.85546875" style="18" bestFit="1" customWidth="1"/>
    <col min="38" max="38" width="12.85546875" style="3" bestFit="1" customWidth="1"/>
    <col min="39" max="40" width="13.42578125" style="3" bestFit="1" customWidth="1"/>
  </cols>
  <sheetData>
    <row r="1" spans="1:40" x14ac:dyDescent="0.25">
      <c r="A1" s="2" t="s">
        <v>5</v>
      </c>
      <c r="B1" s="2" t="s">
        <v>6</v>
      </c>
      <c r="C1" s="2" t="s">
        <v>7</v>
      </c>
      <c r="D1" s="2" t="s">
        <v>8</v>
      </c>
      <c r="E1" s="2" t="s">
        <v>9</v>
      </c>
      <c r="F1" s="2" t="s">
        <v>0</v>
      </c>
      <c r="G1" s="2" t="s">
        <v>10</v>
      </c>
      <c r="H1" s="2" t="s">
        <v>11</v>
      </c>
      <c r="I1" s="2" t="s">
        <v>12</v>
      </c>
      <c r="J1" s="2" t="s">
        <v>13</v>
      </c>
      <c r="K1" s="6" t="s">
        <v>14</v>
      </c>
      <c r="L1" s="6" t="s">
        <v>15</v>
      </c>
      <c r="M1" s="6" t="s">
        <v>16</v>
      </c>
      <c r="N1" s="6" t="s">
        <v>17</v>
      </c>
      <c r="O1" s="6" t="s">
        <v>18</v>
      </c>
      <c r="P1" s="6" t="s">
        <v>19</v>
      </c>
      <c r="Q1" s="6" t="s">
        <v>20</v>
      </c>
      <c r="R1" s="2" t="s">
        <v>21</v>
      </c>
      <c r="S1" s="2" t="s">
        <v>22</v>
      </c>
      <c r="T1" s="2" t="s">
        <v>23</v>
      </c>
      <c r="U1" s="2" t="s">
        <v>24</v>
      </c>
      <c r="V1" s="11" t="s">
        <v>25</v>
      </c>
      <c r="W1" s="2" t="s">
        <v>26</v>
      </c>
      <c r="X1" s="2" t="s">
        <v>14</v>
      </c>
      <c r="Y1" s="11" t="s">
        <v>27</v>
      </c>
      <c r="Z1" s="2" t="s">
        <v>28</v>
      </c>
      <c r="AA1" s="6" t="s">
        <v>29</v>
      </c>
      <c r="AB1" s="6" t="s">
        <v>30</v>
      </c>
      <c r="AC1" s="6" t="s">
        <v>31</v>
      </c>
      <c r="AD1" s="6" t="s">
        <v>32</v>
      </c>
      <c r="AE1" s="6" t="s">
        <v>33</v>
      </c>
      <c r="AF1" s="2" t="s">
        <v>28</v>
      </c>
      <c r="AG1" s="6" t="s">
        <v>34</v>
      </c>
      <c r="AH1" s="6" t="s">
        <v>35</v>
      </c>
      <c r="AI1" s="6" t="s">
        <v>36</v>
      </c>
      <c r="AJ1" s="17" t="s">
        <v>37</v>
      </c>
      <c r="AK1" s="17" t="s">
        <v>38</v>
      </c>
      <c r="AL1" s="6" t="s">
        <v>39</v>
      </c>
      <c r="AM1" s="6" t="s">
        <v>31</v>
      </c>
      <c r="AN1" s="6" t="s">
        <v>34</v>
      </c>
    </row>
    <row r="2" spans="1:40" x14ac:dyDescent="0.25">
      <c r="A2" s="1">
        <v>45322.666666666664</v>
      </c>
      <c r="B2">
        <v>20240216</v>
      </c>
      <c r="C2">
        <v>4663.5</v>
      </c>
      <c r="D2">
        <v>4648.2287960000003</v>
      </c>
      <c r="E2" t="s">
        <v>40</v>
      </c>
      <c r="F2">
        <v>3475</v>
      </c>
      <c r="G2">
        <v>10</v>
      </c>
      <c r="H2" t="s">
        <v>41</v>
      </c>
      <c r="I2" s="3">
        <v>0.1</v>
      </c>
      <c r="J2" s="3">
        <v>0.3</v>
      </c>
      <c r="K2" s="7">
        <v>48.857054120000001</v>
      </c>
      <c r="L2" s="3">
        <v>0.64329366399999999</v>
      </c>
      <c r="M2" s="3">
        <v>0.15393880800000001</v>
      </c>
      <c r="N2" s="3">
        <v>-1.1788460000000001E-3</v>
      </c>
      <c r="O2" s="3">
        <v>3.6357529E-2</v>
      </c>
      <c r="P2" s="10">
        <v>3.9897509100430398E-6</v>
      </c>
      <c r="Q2" s="3">
        <v>-4.1095451999999998E-2</v>
      </c>
      <c r="R2">
        <v>0</v>
      </c>
      <c r="S2" t="b">
        <v>1</v>
      </c>
      <c r="T2" s="1">
        <v>45322.666666666664</v>
      </c>
      <c r="U2" s="1">
        <v>45338.666666666664</v>
      </c>
      <c r="V2" s="5">
        <f>(U2-T2)/365</f>
        <v>4.3835616438356165E-2</v>
      </c>
      <c r="W2">
        <v>3.7900000000000003E-2</v>
      </c>
      <c r="X2" s="4">
        <v>0.2</v>
      </c>
      <c r="Y2" s="5">
        <f>(LN(C2/F2))</f>
        <v>0.29417176016802565</v>
      </c>
      <c r="Z2">
        <f>(W2+((X2)^2)/2)</f>
        <v>5.7900000000000007E-2</v>
      </c>
      <c r="AA2" s="3">
        <f>V2</f>
        <v>4.3835616438356165E-2</v>
      </c>
      <c r="AB2" s="3">
        <f>X2*SQRT(V2)</f>
        <v>4.1873913807217097E-2</v>
      </c>
      <c r="AC2" s="3">
        <f>(Y2+Z2*AA2)/AB2</f>
        <v>7.0857919736336568</v>
      </c>
      <c r="AD2" s="3">
        <f>_xlfn.NORM.DIST(AC2,0,1,TRUE)</f>
        <v>0.99999999999930878</v>
      </c>
      <c r="AE2" s="3">
        <f>_xlfn.NORM.DIST(-AC2,0,1,TRUE)</f>
        <v>6.9125677673652835E-13</v>
      </c>
      <c r="AF2">
        <f>(W2-((X2)^2)/2)</f>
        <v>1.7899999999999999E-2</v>
      </c>
      <c r="AG2" s="3">
        <f>(Y2+AF2*AA2)/AB2</f>
        <v>7.0439180598264395</v>
      </c>
      <c r="AH2" s="3">
        <f>_xlfn.NORM.DIST(AG2,0,1,TRUE)</f>
        <v>0.99999999999906541</v>
      </c>
      <c r="AI2" s="3">
        <f>_xlfn.NORM.DIST(-AG2,0,1,TRUE)</f>
        <v>9.3454042901350155E-13</v>
      </c>
      <c r="AJ2" s="18" t="str">
        <f>IF(E2="Call",C2*AD2-EXP(-W2*AA2)*F2*AH2,"Put")</f>
        <v>Put</v>
      </c>
      <c r="AK2" s="18">
        <f>IF(E2="Put",EXP(-W2*AA2)*F2*AI2-C2*AE2,"Call")</f>
        <v>1.8461146728812432E-11</v>
      </c>
      <c r="AL2" s="3">
        <f>IF(E2="Put",AK2,AJ2)</f>
        <v>1.8461146728812432E-11</v>
      </c>
      <c r="AM2" s="3">
        <f>(LN(C2/F2)+(W2+((X2)^2)/2)*(V2))/(X2*SQRT(V2))</f>
        <v>7.0857919736336568</v>
      </c>
      <c r="AN2" s="3">
        <f>(LN(C2/F2)+(W2-((X2)^2)/2)*(V2))/(X2*SQRT(V2))</f>
        <v>7.0439180598264395</v>
      </c>
    </row>
    <row r="3" spans="1:40" x14ac:dyDescent="0.25">
      <c r="A3" s="1">
        <v>45322.666666666664</v>
      </c>
      <c r="B3">
        <v>20240216</v>
      </c>
      <c r="C3">
        <v>4663.5</v>
      </c>
      <c r="D3">
        <v>4648.2287960000003</v>
      </c>
      <c r="E3" t="s">
        <v>40</v>
      </c>
      <c r="F3">
        <v>3500</v>
      </c>
      <c r="G3">
        <v>10</v>
      </c>
      <c r="H3" t="s">
        <v>41</v>
      </c>
      <c r="I3" s="3">
        <v>0.1</v>
      </c>
      <c r="J3" s="3">
        <v>0.3</v>
      </c>
      <c r="K3" s="7">
        <v>48.166936720000002</v>
      </c>
      <c r="L3" s="3">
        <v>0.64329366399999999</v>
      </c>
      <c r="M3" s="3">
        <v>0.17033622600000001</v>
      </c>
      <c r="N3" s="3">
        <v>-1.3127029999999999E-3</v>
      </c>
      <c r="O3" s="3">
        <v>4.011675E-2</v>
      </c>
      <c r="P3" s="10">
        <v>4.1760691573455398E-6</v>
      </c>
      <c r="Q3" s="3">
        <v>-4.1807978000000003E-2</v>
      </c>
      <c r="R3">
        <v>0</v>
      </c>
      <c r="S3" t="b">
        <v>1</v>
      </c>
      <c r="T3" s="1">
        <v>45322.666666666664</v>
      </c>
      <c r="U3" s="1">
        <v>45338.666666666664</v>
      </c>
      <c r="V3" s="5">
        <f t="shared" ref="V3:V66" si="0">(U3-T3)/365</f>
        <v>4.3835616438356165E-2</v>
      </c>
      <c r="W3">
        <v>3.7900000000000003E-2</v>
      </c>
      <c r="X3" s="4">
        <v>0.2</v>
      </c>
      <c r="Y3" s="5">
        <f t="shared" ref="Y3:Y66" si="1">(LN(C3/F3))</f>
        <v>0.28700327068941323</v>
      </c>
      <c r="Z3">
        <f t="shared" ref="Z3:Z66" si="2">(W3+((X3)^2)/2)</f>
        <v>5.7900000000000007E-2</v>
      </c>
      <c r="AA3" s="3">
        <f t="shared" ref="AA3:AA66" si="3">V3</f>
        <v>4.3835616438356165E-2</v>
      </c>
      <c r="AB3" s="3">
        <f t="shared" ref="AB3:AB66" si="4">X3*SQRT(V3)</f>
        <v>4.1873913807217097E-2</v>
      </c>
      <c r="AC3" s="3">
        <f t="shared" ref="AC3:AC66" si="5">(Y3+Z3*AA3)/AB3</f>
        <v>6.9145997246450532</v>
      </c>
      <c r="AD3" s="3">
        <f t="shared" ref="AD3:AD66" si="6">_xlfn.NORM.DIST(AC3,0,1,TRUE)</f>
        <v>0.9999999999976541</v>
      </c>
      <c r="AE3" s="3">
        <f t="shared" ref="AE3:AE66" si="7">_xlfn.NORM.DIST(-AC3,0,1,TRUE)</f>
        <v>2.3459312835179491E-12</v>
      </c>
      <c r="AF3">
        <f t="shared" ref="AF3:AF66" si="8">(W3-((X3)^2)/2)</f>
        <v>1.7899999999999999E-2</v>
      </c>
      <c r="AG3" s="3">
        <f t="shared" ref="AG3:AG66" si="9">(Y3+AF3*AA3)/AB3</f>
        <v>6.872725810837836</v>
      </c>
      <c r="AH3" s="3">
        <f t="shared" ref="AH3:AH66" si="10">_xlfn.NORM.DIST(AG3,0,1,TRUE)</f>
        <v>0.99999999999685063</v>
      </c>
      <c r="AI3" s="3">
        <f t="shared" ref="AI3:AI66" si="11">_xlfn.NORM.DIST(-AG3,0,1,TRUE)</f>
        <v>3.1493280990907471E-12</v>
      </c>
      <c r="AJ3" s="18" t="str">
        <f t="shared" ref="AJ3:AJ66" si="12">IF(E3="Call",C3*AD3-EXP(-W3*AA3)*F3*AH3,"Put")</f>
        <v>Put</v>
      </c>
      <c r="AK3" s="18">
        <f t="shared" ref="AK3:AK66" si="13">IF(E3="Put",EXP(-W3*AA3)*F3*AI3-C3*AE3,"Call")</f>
        <v>6.4100314017293791E-11</v>
      </c>
      <c r="AL3" s="3">
        <f t="shared" ref="AL3:AL66" si="14">IF(E3="Put",AK3,AJ3)</f>
        <v>6.4100314017293791E-11</v>
      </c>
      <c r="AM3" s="3">
        <f t="shared" ref="AM3:AM66" si="15">(LN(C3/F3)+(W3+((X3)^2)/2)*(V3))/(X3*SQRT(V3))</f>
        <v>6.9145997246450532</v>
      </c>
      <c r="AN3" s="3">
        <f t="shared" ref="AN3:AN66" si="16">(LN(C3/F3)+(W3-((X3)^2)/2)*(V3))/(X3*SQRT(V3))</f>
        <v>6.872725810837836</v>
      </c>
    </row>
    <row r="4" spans="1:40" x14ac:dyDescent="0.25">
      <c r="A4" s="1">
        <v>45322.666666666664</v>
      </c>
      <c r="B4">
        <v>20240216</v>
      </c>
      <c r="C4">
        <v>4663.5</v>
      </c>
      <c r="D4">
        <v>4648.2287960000003</v>
      </c>
      <c r="E4" t="s">
        <v>40</v>
      </c>
      <c r="F4">
        <v>3525</v>
      </c>
      <c r="G4">
        <v>10</v>
      </c>
      <c r="H4" t="s">
        <v>41</v>
      </c>
      <c r="I4" s="3">
        <v>0.1</v>
      </c>
      <c r="J4" s="3">
        <v>0.3</v>
      </c>
      <c r="K4" s="7">
        <v>47.45914544</v>
      </c>
      <c r="L4" s="3">
        <v>0.64329366399999999</v>
      </c>
      <c r="M4" s="3">
        <v>0.18774026099999999</v>
      </c>
      <c r="N4" s="3">
        <v>-1.4570609999999999E-3</v>
      </c>
      <c r="O4" s="3">
        <v>4.4127699999999999E-2</v>
      </c>
      <c r="P4" s="10">
        <v>4.5303850617614299E-6</v>
      </c>
      <c r="Q4" s="3">
        <v>-4.4031995999999997E-2</v>
      </c>
      <c r="R4">
        <v>0</v>
      </c>
      <c r="S4" t="b">
        <v>1</v>
      </c>
      <c r="T4" s="1">
        <v>45322.666666666664</v>
      </c>
      <c r="U4" s="1">
        <v>45338.666666666664</v>
      </c>
      <c r="V4" s="5">
        <f t="shared" si="0"/>
        <v>4.3835616438356165E-2</v>
      </c>
      <c r="W4">
        <v>3.7900000000000003E-2</v>
      </c>
      <c r="X4" s="4">
        <v>0.2</v>
      </c>
      <c r="Y4" s="5">
        <f t="shared" si="1"/>
        <v>0.27988580292054921</v>
      </c>
      <c r="Z4">
        <f t="shared" si="2"/>
        <v>5.7900000000000007E-2</v>
      </c>
      <c r="AA4" s="3">
        <f t="shared" si="3"/>
        <v>4.3835616438356165E-2</v>
      </c>
      <c r="AB4" s="3">
        <f t="shared" si="4"/>
        <v>4.1873913807217097E-2</v>
      </c>
      <c r="AC4" s="3">
        <f t="shared" si="5"/>
        <v>6.7446259361515279</v>
      </c>
      <c r="AD4" s="3">
        <f t="shared" si="6"/>
        <v>0.99999999999232891</v>
      </c>
      <c r="AE4" s="3">
        <f t="shared" si="7"/>
        <v>7.6710883726056256E-12</v>
      </c>
      <c r="AF4">
        <f t="shared" si="8"/>
        <v>1.7899999999999999E-2</v>
      </c>
      <c r="AG4" s="3">
        <f t="shared" si="9"/>
        <v>6.7027520223443107</v>
      </c>
      <c r="AH4" s="3">
        <f t="shared" si="10"/>
        <v>0.99999999998977351</v>
      </c>
      <c r="AI4" s="3">
        <f t="shared" si="11"/>
        <v>1.0226519755078541E-11</v>
      </c>
      <c r="AJ4" s="18" t="str">
        <f t="shared" si="12"/>
        <v>Put</v>
      </c>
      <c r="AK4" s="18">
        <f t="shared" si="13"/>
        <v>2.1452137124267747E-10</v>
      </c>
      <c r="AL4" s="3">
        <f t="shared" si="14"/>
        <v>2.1452137124267747E-10</v>
      </c>
      <c r="AM4" s="3">
        <f t="shared" si="15"/>
        <v>6.7446259361515279</v>
      </c>
      <c r="AN4" s="3">
        <f t="shared" si="16"/>
        <v>6.7027520223443107</v>
      </c>
    </row>
    <row r="5" spans="1:40" x14ac:dyDescent="0.25">
      <c r="A5" s="1">
        <v>45322.666666666664</v>
      </c>
      <c r="B5">
        <v>20240216</v>
      </c>
      <c r="C5">
        <v>4663.5</v>
      </c>
      <c r="D5">
        <v>4648.2287960000003</v>
      </c>
      <c r="E5" t="s">
        <v>40</v>
      </c>
      <c r="F5">
        <v>3550</v>
      </c>
      <c r="G5">
        <v>10</v>
      </c>
      <c r="H5" t="s">
        <v>41</v>
      </c>
      <c r="I5" s="3">
        <v>0.1</v>
      </c>
      <c r="J5" s="3">
        <v>0.3</v>
      </c>
      <c r="K5" s="7">
        <v>46.734089130000001</v>
      </c>
      <c r="L5" s="3">
        <v>0.64329366399999999</v>
      </c>
      <c r="M5" s="3">
        <v>0.20614533900000001</v>
      </c>
      <c r="N5" s="3">
        <v>-1.612383E-3</v>
      </c>
      <c r="O5" s="3">
        <v>4.8397795E-2</v>
      </c>
      <c r="P5" s="10">
        <v>4.90361016091793E-6</v>
      </c>
      <c r="Q5" s="3">
        <v>-4.6214357999999997E-2</v>
      </c>
      <c r="R5">
        <v>0</v>
      </c>
      <c r="S5" t="b">
        <v>1</v>
      </c>
      <c r="T5" s="1">
        <v>45322.666666666664</v>
      </c>
      <c r="U5" s="1">
        <v>45338.666666666664</v>
      </c>
      <c r="V5" s="5">
        <f t="shared" si="0"/>
        <v>4.3835616438356165E-2</v>
      </c>
      <c r="W5">
        <v>3.7900000000000003E-2</v>
      </c>
      <c r="X5" s="4">
        <v>0.2</v>
      </c>
      <c r="Y5" s="5">
        <f t="shared" si="1"/>
        <v>0.27281863569745668</v>
      </c>
      <c r="Z5">
        <f t="shared" si="2"/>
        <v>5.7900000000000007E-2</v>
      </c>
      <c r="AA5" s="3">
        <f t="shared" si="3"/>
        <v>4.3835616438356165E-2</v>
      </c>
      <c r="AB5" s="3">
        <f t="shared" si="4"/>
        <v>4.1873913807217097E-2</v>
      </c>
      <c r="AC5" s="3">
        <f t="shared" si="5"/>
        <v>6.5758533858800394</v>
      </c>
      <c r="AD5" s="3">
        <f t="shared" si="6"/>
        <v>0.99999999997581257</v>
      </c>
      <c r="AE5" s="3">
        <f t="shared" si="7"/>
        <v>2.4187452123269261E-11</v>
      </c>
      <c r="AF5">
        <f t="shared" si="8"/>
        <v>1.7899999999999999E-2</v>
      </c>
      <c r="AG5" s="3">
        <f t="shared" si="9"/>
        <v>6.5339794720728221</v>
      </c>
      <c r="AH5" s="3">
        <f t="shared" si="10"/>
        <v>0.99999999996797762</v>
      </c>
      <c r="AI5" s="3">
        <f t="shared" si="11"/>
        <v>3.2022363673840705E-11</v>
      </c>
      <c r="AJ5" s="18" t="str">
        <f t="shared" si="12"/>
        <v>Put</v>
      </c>
      <c r="AK5" s="18">
        <f t="shared" si="13"/>
        <v>6.9250135017475747E-10</v>
      </c>
      <c r="AL5" s="3">
        <f t="shared" si="14"/>
        <v>6.9250135017475747E-10</v>
      </c>
      <c r="AM5" s="3">
        <f t="shared" si="15"/>
        <v>6.5758533858800394</v>
      </c>
      <c r="AN5" s="3">
        <f t="shared" si="16"/>
        <v>6.5339794720728221</v>
      </c>
    </row>
    <row r="6" spans="1:40" x14ac:dyDescent="0.25">
      <c r="A6" s="1">
        <v>45322.666666666664</v>
      </c>
      <c r="B6">
        <v>20240216</v>
      </c>
      <c r="C6">
        <v>4663.5</v>
      </c>
      <c r="D6">
        <v>4648.2287960000003</v>
      </c>
      <c r="E6" t="s">
        <v>40</v>
      </c>
      <c r="F6">
        <v>3575</v>
      </c>
      <c r="G6">
        <v>10</v>
      </c>
      <c r="H6" t="s">
        <v>41</v>
      </c>
      <c r="I6" s="3">
        <v>0.1</v>
      </c>
      <c r="J6" s="3">
        <v>0.3</v>
      </c>
      <c r="K6" s="7">
        <v>45.992165819999997</v>
      </c>
      <c r="L6" s="3">
        <v>0.64329366399999999</v>
      </c>
      <c r="M6" s="3">
        <v>0.22554068299999999</v>
      </c>
      <c r="N6" s="3">
        <v>-1.7791459999999999E-3</v>
      </c>
      <c r="O6" s="3">
        <v>5.2934547999999998E-2</v>
      </c>
      <c r="P6" s="10">
        <v>5.2964912609790999E-6</v>
      </c>
      <c r="Q6" s="3">
        <v>-4.8344760000000001E-2</v>
      </c>
      <c r="R6">
        <v>0</v>
      </c>
      <c r="S6" t="b">
        <v>1</v>
      </c>
      <c r="T6" s="1">
        <v>45322.666666666664</v>
      </c>
      <c r="U6" s="1">
        <v>45338.666666666664</v>
      </c>
      <c r="V6" s="5">
        <f t="shared" si="0"/>
        <v>4.3835616438356165E-2</v>
      </c>
      <c r="W6">
        <v>3.7900000000000003E-2</v>
      </c>
      <c r="X6" s="4">
        <v>0.2</v>
      </c>
      <c r="Y6" s="5">
        <f t="shared" si="1"/>
        <v>0.26580106303881013</v>
      </c>
      <c r="Z6">
        <f t="shared" si="2"/>
        <v>5.7900000000000007E-2</v>
      </c>
      <c r="AA6" s="3">
        <f t="shared" si="3"/>
        <v>4.3835616438356165E-2</v>
      </c>
      <c r="AB6" s="3">
        <f t="shared" si="4"/>
        <v>4.1873913807217097E-2</v>
      </c>
      <c r="AC6" s="3">
        <f t="shared" si="5"/>
        <v>6.4082652141377308</v>
      </c>
      <c r="AD6" s="3">
        <f t="shared" si="6"/>
        <v>0.99999999992640765</v>
      </c>
      <c r="AE6" s="3">
        <f t="shared" si="7"/>
        <v>7.3592358172110946E-11</v>
      </c>
      <c r="AF6">
        <f t="shared" si="8"/>
        <v>1.7899999999999999E-2</v>
      </c>
      <c r="AG6" s="3">
        <f t="shared" si="9"/>
        <v>6.3663913003305135</v>
      </c>
      <c r="AH6" s="3">
        <f t="shared" si="10"/>
        <v>0.99999999990323629</v>
      </c>
      <c r="AI6" s="3">
        <f t="shared" si="11"/>
        <v>9.6763668481452923E-11</v>
      </c>
      <c r="AJ6" s="18" t="str">
        <f t="shared" si="12"/>
        <v>Put</v>
      </c>
      <c r="AK6" s="18">
        <f t="shared" si="13"/>
        <v>2.1579117632795536E-9</v>
      </c>
      <c r="AL6" s="3">
        <f t="shared" si="14"/>
        <v>2.1579117632795536E-9</v>
      </c>
      <c r="AM6" s="3">
        <f t="shared" si="15"/>
        <v>6.4082652141377308</v>
      </c>
      <c r="AN6" s="3">
        <f t="shared" si="16"/>
        <v>6.3663913003305135</v>
      </c>
    </row>
    <row r="7" spans="1:40" x14ac:dyDescent="0.25">
      <c r="A7" s="1">
        <v>45322.666666666664</v>
      </c>
      <c r="B7">
        <v>20240216</v>
      </c>
      <c r="C7">
        <v>4663.5</v>
      </c>
      <c r="D7">
        <v>4648.2287960000003</v>
      </c>
      <c r="E7" t="s">
        <v>40</v>
      </c>
      <c r="F7">
        <v>3600</v>
      </c>
      <c r="G7">
        <v>10</v>
      </c>
      <c r="H7" t="s">
        <v>41</v>
      </c>
      <c r="I7" s="3">
        <v>0.2</v>
      </c>
      <c r="J7" s="3">
        <v>0.4</v>
      </c>
      <c r="K7" s="7">
        <v>45.233763070000002</v>
      </c>
      <c r="L7" s="3">
        <v>0.64329366399999999</v>
      </c>
      <c r="M7" s="3">
        <v>0.245910355</v>
      </c>
      <c r="N7" s="3">
        <v>-1.9578410000000001E-3</v>
      </c>
      <c r="O7" s="3">
        <v>5.7745638000000002E-2</v>
      </c>
      <c r="P7" s="10">
        <v>5.7098935409154504E-6</v>
      </c>
      <c r="Q7" s="3">
        <v>-5.0413502999999998E-2</v>
      </c>
      <c r="R7">
        <v>0</v>
      </c>
      <c r="S7" t="b">
        <v>1</v>
      </c>
      <c r="T7" s="1">
        <v>45322.666666666664</v>
      </c>
      <c r="U7" s="1">
        <v>45338.666666666664</v>
      </c>
      <c r="V7" s="5">
        <f t="shared" si="0"/>
        <v>4.3835616438356165E-2</v>
      </c>
      <c r="W7">
        <v>3.7900000000000003E-2</v>
      </c>
      <c r="X7" s="4">
        <v>0.2</v>
      </c>
      <c r="Y7" s="5">
        <f t="shared" si="1"/>
        <v>0.25883239372271682</v>
      </c>
      <c r="Z7">
        <f t="shared" si="2"/>
        <v>5.7900000000000007E-2</v>
      </c>
      <c r="AA7" s="3">
        <f t="shared" si="3"/>
        <v>4.3835616438356165E-2</v>
      </c>
      <c r="AB7" s="3">
        <f t="shared" si="4"/>
        <v>4.1873913807217097E-2</v>
      </c>
      <c r="AC7" s="3">
        <f t="shared" si="5"/>
        <v>6.241844913704953</v>
      </c>
      <c r="AD7" s="3">
        <f t="shared" si="6"/>
        <v>0.99999999978378018</v>
      </c>
      <c r="AE7" s="3">
        <f t="shared" si="7"/>
        <v>2.1621980507534565E-10</v>
      </c>
      <c r="AF7">
        <f t="shared" si="8"/>
        <v>1.7899999999999999E-2</v>
      </c>
      <c r="AG7" s="3">
        <f t="shared" si="9"/>
        <v>6.1999709998977357</v>
      </c>
      <c r="AH7" s="3">
        <f t="shared" si="10"/>
        <v>0.9999999997176322</v>
      </c>
      <c r="AI7" s="3">
        <f t="shared" si="11"/>
        <v>2.8236782829797811E-10</v>
      </c>
      <c r="AJ7" s="18" t="str">
        <f t="shared" si="12"/>
        <v>Put</v>
      </c>
      <c r="AK7" s="18">
        <f t="shared" si="13"/>
        <v>6.4957003660003204E-9</v>
      </c>
      <c r="AL7" s="3">
        <f t="shared" si="14"/>
        <v>6.4957003660003204E-9</v>
      </c>
      <c r="AM7" s="3">
        <f t="shared" si="15"/>
        <v>6.241844913704953</v>
      </c>
      <c r="AN7" s="3">
        <f t="shared" si="16"/>
        <v>6.1999709998977357</v>
      </c>
    </row>
    <row r="8" spans="1:40" x14ac:dyDescent="0.25">
      <c r="A8" s="1">
        <v>45322.666666666664</v>
      </c>
      <c r="B8">
        <v>20240216</v>
      </c>
      <c r="C8">
        <v>4663.5</v>
      </c>
      <c r="D8">
        <v>4648.2287960000003</v>
      </c>
      <c r="E8" t="s">
        <v>40</v>
      </c>
      <c r="F8">
        <v>3625</v>
      </c>
      <c r="G8">
        <v>10</v>
      </c>
      <c r="H8" t="s">
        <v>41</v>
      </c>
      <c r="I8" s="3">
        <v>0.2</v>
      </c>
      <c r="J8" s="3">
        <v>0.4</v>
      </c>
      <c r="K8" s="7">
        <v>44.459258269999999</v>
      </c>
      <c r="L8" s="3">
        <v>0.64329366399999999</v>
      </c>
      <c r="M8" s="3">
        <v>0.26723332900000002</v>
      </c>
      <c r="N8" s="3">
        <v>-2.14898E-3</v>
      </c>
      <c r="O8" s="3">
        <v>6.2838993999999995E-2</v>
      </c>
      <c r="P8" s="10">
        <v>6.1448234340353002E-6</v>
      </c>
      <c r="Q8" s="3">
        <v>-5.2411580999999999E-2</v>
      </c>
      <c r="R8">
        <v>0</v>
      </c>
      <c r="S8" t="b">
        <v>1</v>
      </c>
      <c r="T8" s="1">
        <v>45322.666666666664</v>
      </c>
      <c r="U8" s="1">
        <v>45338.666666666664</v>
      </c>
      <c r="V8" s="5">
        <f t="shared" si="0"/>
        <v>4.3835616438356165E-2</v>
      </c>
      <c r="W8">
        <v>3.7900000000000003E-2</v>
      </c>
      <c r="X8" s="4">
        <v>0.2</v>
      </c>
      <c r="Y8" s="5">
        <f t="shared" si="1"/>
        <v>0.25191195087814311</v>
      </c>
      <c r="Z8">
        <f t="shared" si="2"/>
        <v>5.7900000000000007E-2</v>
      </c>
      <c r="AA8" s="3">
        <f t="shared" si="3"/>
        <v>4.3835616438356165E-2</v>
      </c>
      <c r="AB8" s="3">
        <f t="shared" si="4"/>
        <v>4.1873913807217097E-2</v>
      </c>
      <c r="AC8" s="3">
        <f t="shared" si="5"/>
        <v>6.0765763200780309</v>
      </c>
      <c r="AD8" s="3">
        <f t="shared" si="6"/>
        <v>0.99999999938612205</v>
      </c>
      <c r="AE8" s="3">
        <f t="shared" si="7"/>
        <v>6.1387791882284009E-10</v>
      </c>
      <c r="AF8">
        <f t="shared" si="8"/>
        <v>1.7899999999999999E-2</v>
      </c>
      <c r="AG8" s="3">
        <f t="shared" si="9"/>
        <v>6.0347024062708137</v>
      </c>
      <c r="AH8" s="3">
        <f t="shared" si="10"/>
        <v>0.99999999920372051</v>
      </c>
      <c r="AI8" s="3">
        <f t="shared" si="11"/>
        <v>7.962795100452306E-10</v>
      </c>
      <c r="AJ8" s="18" t="str">
        <f t="shared" si="12"/>
        <v>Put</v>
      </c>
      <c r="AK8" s="18">
        <f t="shared" si="13"/>
        <v>1.8901964803560961E-8</v>
      </c>
      <c r="AL8" s="3">
        <f t="shared" si="14"/>
        <v>1.8901964803560961E-8</v>
      </c>
      <c r="AM8" s="3">
        <f t="shared" si="15"/>
        <v>6.0765763200780309</v>
      </c>
      <c r="AN8" s="3">
        <f t="shared" si="16"/>
        <v>6.0347024062708137</v>
      </c>
    </row>
    <row r="9" spans="1:40" x14ac:dyDescent="0.25">
      <c r="A9" s="1">
        <v>45322.666666666664</v>
      </c>
      <c r="B9">
        <v>20240216</v>
      </c>
      <c r="C9">
        <v>4663.5</v>
      </c>
      <c r="D9">
        <v>4648.2287960000003</v>
      </c>
      <c r="E9" t="s">
        <v>40</v>
      </c>
      <c r="F9">
        <v>3650</v>
      </c>
      <c r="G9">
        <v>10</v>
      </c>
      <c r="H9" t="s">
        <v>41</v>
      </c>
      <c r="I9" s="3">
        <v>0.2</v>
      </c>
      <c r="J9" s="3">
        <v>0.4</v>
      </c>
      <c r="K9" s="7">
        <v>43.669018999999999</v>
      </c>
      <c r="L9" s="3">
        <v>0.64329366399999999</v>
      </c>
      <c r="M9" s="3">
        <v>0.28948361299999997</v>
      </c>
      <c r="N9" s="3">
        <v>-2.3531009999999998E-3</v>
      </c>
      <c r="O9" s="3">
        <v>6.8222891999999993E-2</v>
      </c>
      <c r="P9" s="10">
        <v>6.60245517710319E-6</v>
      </c>
      <c r="Q9" s="3">
        <v>-5.4330757E-2</v>
      </c>
      <c r="R9">
        <v>0</v>
      </c>
      <c r="S9" t="b">
        <v>1</v>
      </c>
      <c r="T9" s="1">
        <v>45322.666666666664</v>
      </c>
      <c r="U9" s="1">
        <v>45338.666666666664</v>
      </c>
      <c r="V9" s="5">
        <f t="shared" si="0"/>
        <v>4.3835616438356165E-2</v>
      </c>
      <c r="W9">
        <v>3.7900000000000003E-2</v>
      </c>
      <c r="X9" s="4">
        <v>0.2</v>
      </c>
      <c r="Y9" s="5">
        <f t="shared" si="1"/>
        <v>0.24503907159038102</v>
      </c>
      <c r="Z9">
        <f t="shared" si="2"/>
        <v>5.7900000000000007E-2</v>
      </c>
      <c r="AA9" s="3">
        <f t="shared" si="3"/>
        <v>4.3835616438356165E-2</v>
      </c>
      <c r="AB9" s="3">
        <f t="shared" si="4"/>
        <v>4.1873913807217097E-2</v>
      </c>
      <c r="AC9" s="3">
        <f t="shared" si="5"/>
        <v>5.9124436020473237</v>
      </c>
      <c r="AD9" s="3">
        <f t="shared" si="6"/>
        <v>0.99999999831465358</v>
      </c>
      <c r="AE9" s="3">
        <f t="shared" si="7"/>
        <v>1.6853463816278612E-9</v>
      </c>
      <c r="AF9">
        <f t="shared" si="8"/>
        <v>1.7899999999999999E-2</v>
      </c>
      <c r="AG9" s="3">
        <f t="shared" si="9"/>
        <v>5.8705696882401073</v>
      </c>
      <c r="AH9" s="3">
        <f t="shared" si="10"/>
        <v>0.99999999782849913</v>
      </c>
      <c r="AI9" s="3">
        <f t="shared" si="11"/>
        <v>2.171500878948828E-9</v>
      </c>
      <c r="AJ9" s="18" t="str">
        <f t="shared" si="12"/>
        <v>Put</v>
      </c>
      <c r="AK9" s="18">
        <f t="shared" si="13"/>
        <v>5.3208308500329486E-8</v>
      </c>
      <c r="AL9" s="3">
        <f t="shared" si="14"/>
        <v>5.3208308500329486E-8</v>
      </c>
      <c r="AM9" s="3">
        <f t="shared" si="15"/>
        <v>5.9124436020473237</v>
      </c>
      <c r="AN9" s="3">
        <f t="shared" si="16"/>
        <v>5.8705696882401073</v>
      </c>
    </row>
    <row r="10" spans="1:40" x14ac:dyDescent="0.25">
      <c r="A10" s="1">
        <v>45322.666666666664</v>
      </c>
      <c r="B10">
        <v>20240216</v>
      </c>
      <c r="C10">
        <v>4663.5</v>
      </c>
      <c r="D10">
        <v>4648.2287960000003</v>
      </c>
      <c r="E10" t="s">
        <v>40</v>
      </c>
      <c r="F10">
        <v>3675</v>
      </c>
      <c r="G10">
        <v>10</v>
      </c>
      <c r="H10" t="s">
        <v>41</v>
      </c>
      <c r="I10" s="3">
        <v>0.2</v>
      </c>
      <c r="J10" s="3">
        <v>0.5</v>
      </c>
      <c r="K10" s="7">
        <v>42.863403320000003</v>
      </c>
      <c r="L10" s="3">
        <v>0.64329366399999999</v>
      </c>
      <c r="M10" s="3">
        <v>0.31263040800000003</v>
      </c>
      <c r="N10" s="3">
        <v>-2.5707690000000001E-3</v>
      </c>
      <c r="O10" s="3">
        <v>7.3906061999999995E-2</v>
      </c>
      <c r="P10" s="10">
        <v>7.0841618569836598E-6</v>
      </c>
      <c r="Q10" s="3">
        <v>-5.6163633999999997E-2</v>
      </c>
      <c r="R10">
        <v>0</v>
      </c>
      <c r="S10" t="b">
        <v>1</v>
      </c>
      <c r="T10" s="1">
        <v>45322.666666666664</v>
      </c>
      <c r="U10" s="1">
        <v>45338.666666666664</v>
      </c>
      <c r="V10" s="5">
        <f t="shared" si="0"/>
        <v>4.3835616438356165E-2</v>
      </c>
      <c r="W10">
        <v>3.7900000000000003E-2</v>
      </c>
      <c r="X10" s="4">
        <v>0.2</v>
      </c>
      <c r="Y10" s="5">
        <f t="shared" si="1"/>
        <v>0.23821310651998107</v>
      </c>
      <c r="Z10">
        <f t="shared" si="2"/>
        <v>5.7900000000000007E-2</v>
      </c>
      <c r="AA10" s="3">
        <f t="shared" si="3"/>
        <v>4.3835616438356165E-2</v>
      </c>
      <c r="AB10" s="3">
        <f t="shared" si="4"/>
        <v>4.1873913807217097E-2</v>
      </c>
      <c r="AC10" s="3">
        <f t="shared" si="5"/>
        <v>5.7494312525968772</v>
      </c>
      <c r="AD10" s="3">
        <f t="shared" si="6"/>
        <v>0.9999999955227924</v>
      </c>
      <c r="AE10" s="3">
        <f t="shared" si="7"/>
        <v>4.4772076516594974E-9</v>
      </c>
      <c r="AF10">
        <f t="shared" si="8"/>
        <v>1.7899999999999999E-2</v>
      </c>
      <c r="AG10" s="3">
        <f t="shared" si="9"/>
        <v>5.7075573387896608</v>
      </c>
      <c r="AH10" s="3">
        <f t="shared" si="10"/>
        <v>0.99999999426954911</v>
      </c>
      <c r="AI10" s="3">
        <f t="shared" si="11"/>
        <v>5.7304508779397636E-9</v>
      </c>
      <c r="AJ10" s="18" t="str">
        <f t="shared" si="12"/>
        <v>Put</v>
      </c>
      <c r="AK10" s="18">
        <f t="shared" si="13"/>
        <v>1.4499067630176644E-7</v>
      </c>
      <c r="AL10" s="3">
        <f t="shared" si="14"/>
        <v>1.4499067630176644E-7</v>
      </c>
      <c r="AM10" s="3">
        <f t="shared" si="15"/>
        <v>5.7494312525968772</v>
      </c>
      <c r="AN10" s="3">
        <f t="shared" si="16"/>
        <v>5.7075573387896608</v>
      </c>
    </row>
    <row r="11" spans="1:40" x14ac:dyDescent="0.25">
      <c r="A11" s="1">
        <v>45322.666666666664</v>
      </c>
      <c r="B11">
        <v>20240216</v>
      </c>
      <c r="C11">
        <v>4663.5</v>
      </c>
      <c r="D11">
        <v>4648.2287960000003</v>
      </c>
      <c r="E11" t="s">
        <v>40</v>
      </c>
      <c r="F11">
        <v>3700</v>
      </c>
      <c r="G11">
        <v>10</v>
      </c>
      <c r="H11" t="s">
        <v>41</v>
      </c>
      <c r="I11" s="3">
        <v>0.2</v>
      </c>
      <c r="J11" s="3">
        <v>0.5</v>
      </c>
      <c r="K11" s="7">
        <v>42.042760049999998</v>
      </c>
      <c r="L11" s="3">
        <v>0.64329366399999999</v>
      </c>
      <c r="M11" s="3">
        <v>0.336638308</v>
      </c>
      <c r="N11" s="3">
        <v>-2.8025839999999999E-3</v>
      </c>
      <c r="O11" s="3">
        <v>7.9897817999999995E-2</v>
      </c>
      <c r="P11" s="10">
        <v>7.8001748235415498E-6</v>
      </c>
      <c r="Q11" s="3">
        <v>-5.9494962999999998E-2</v>
      </c>
      <c r="R11">
        <v>0</v>
      </c>
      <c r="S11" t="b">
        <v>1</v>
      </c>
      <c r="T11" s="1">
        <v>45322.666666666664</v>
      </c>
      <c r="U11" s="1">
        <v>45338.666666666664</v>
      </c>
      <c r="V11" s="5">
        <f t="shared" si="0"/>
        <v>4.3835616438356165E-2</v>
      </c>
      <c r="W11">
        <v>3.7900000000000003E-2</v>
      </c>
      <c r="X11" s="4">
        <v>0.2</v>
      </c>
      <c r="Y11" s="5">
        <f t="shared" si="1"/>
        <v>0.23143341953460242</v>
      </c>
      <c r="Z11">
        <f t="shared" si="2"/>
        <v>5.7900000000000007E-2</v>
      </c>
      <c r="AA11" s="3">
        <f t="shared" si="3"/>
        <v>4.3835616438356165E-2</v>
      </c>
      <c r="AB11" s="3">
        <f t="shared" si="4"/>
        <v>4.1873913807217097E-2</v>
      </c>
      <c r="AC11" s="3">
        <f t="shared" si="5"/>
        <v>5.5875240801125576</v>
      </c>
      <c r="AD11" s="3">
        <f t="shared" si="6"/>
        <v>0.99999998848350857</v>
      </c>
      <c r="AE11" s="3">
        <f t="shared" si="7"/>
        <v>1.1516491418784641E-8</v>
      </c>
      <c r="AF11">
        <f t="shared" si="8"/>
        <v>1.7899999999999999E-2</v>
      </c>
      <c r="AG11" s="3">
        <f t="shared" si="9"/>
        <v>5.5456501663053412</v>
      </c>
      <c r="AH11" s="3">
        <f t="shared" si="10"/>
        <v>0.99999998535680701</v>
      </c>
      <c r="AI11" s="3">
        <f t="shared" si="11"/>
        <v>1.4643193011024621E-8</v>
      </c>
      <c r="AJ11" s="18" t="str">
        <f t="shared" si="12"/>
        <v>Put</v>
      </c>
      <c r="AK11" s="18">
        <f t="shared" si="13"/>
        <v>3.8271842970300049E-7</v>
      </c>
      <c r="AL11" s="3">
        <f t="shared" si="14"/>
        <v>3.8271842970300049E-7</v>
      </c>
      <c r="AM11" s="3">
        <f t="shared" si="15"/>
        <v>5.5875240801125576</v>
      </c>
      <c r="AN11" s="3">
        <f t="shared" si="16"/>
        <v>5.5456501663053412</v>
      </c>
    </row>
    <row r="12" spans="1:40" x14ac:dyDescent="0.25">
      <c r="A12" s="1">
        <v>45322.666666666664</v>
      </c>
      <c r="B12">
        <v>20240216</v>
      </c>
      <c r="C12">
        <v>4663.5</v>
      </c>
      <c r="D12">
        <v>4648.2287960000003</v>
      </c>
      <c r="E12" t="s">
        <v>40</v>
      </c>
      <c r="F12">
        <v>3725</v>
      </c>
      <c r="G12">
        <v>10</v>
      </c>
      <c r="H12" t="s">
        <v>41</v>
      </c>
      <c r="I12" s="3">
        <v>0.3</v>
      </c>
      <c r="J12" s="3">
        <v>0.4</v>
      </c>
      <c r="K12" s="7">
        <v>41.22935683</v>
      </c>
      <c r="L12" s="3">
        <v>0.64329366399999999</v>
      </c>
      <c r="M12" s="3">
        <v>0.36336156800000002</v>
      </c>
      <c r="N12" s="3">
        <v>-3.062338E-3</v>
      </c>
      <c r="O12" s="3">
        <v>8.6542874000000006E-2</v>
      </c>
      <c r="P12" s="10">
        <v>9.0391717516499092E-6</v>
      </c>
      <c r="Q12" s="3">
        <v>-6.6303306000000006E-2</v>
      </c>
      <c r="R12">
        <v>0</v>
      </c>
      <c r="S12" t="b">
        <v>1</v>
      </c>
      <c r="T12" s="1">
        <v>45322.666666666664</v>
      </c>
      <c r="U12" s="1">
        <v>45338.666666666664</v>
      </c>
      <c r="V12" s="5">
        <f t="shared" si="0"/>
        <v>4.3835616438356165E-2</v>
      </c>
      <c r="W12">
        <v>3.7900000000000003E-2</v>
      </c>
      <c r="X12" s="4">
        <v>0.2</v>
      </c>
      <c r="Y12" s="5">
        <f t="shared" si="1"/>
        <v>0.22469938735325826</v>
      </c>
      <c r="Z12">
        <f t="shared" si="2"/>
        <v>5.7900000000000007E-2</v>
      </c>
      <c r="AA12" s="3">
        <f t="shared" si="3"/>
        <v>4.3835616438356165E-2</v>
      </c>
      <c r="AB12" s="3">
        <f t="shared" si="4"/>
        <v>4.1873913807217097E-2</v>
      </c>
      <c r="AC12" s="3">
        <f t="shared" si="5"/>
        <v>5.4267071998861969</v>
      </c>
      <c r="AD12" s="3">
        <f t="shared" si="6"/>
        <v>0.99999997129841023</v>
      </c>
      <c r="AE12" s="3">
        <f t="shared" si="7"/>
        <v>2.8701589777312602E-8</v>
      </c>
      <c r="AF12">
        <f t="shared" si="8"/>
        <v>1.7899999999999999E-2</v>
      </c>
      <c r="AG12" s="3">
        <f t="shared" si="9"/>
        <v>5.3848332860789805</v>
      </c>
      <c r="AH12" s="3">
        <f t="shared" si="10"/>
        <v>0.99999996374408717</v>
      </c>
      <c r="AI12" s="3">
        <f t="shared" si="11"/>
        <v>3.6255912831092769E-8</v>
      </c>
      <c r="AJ12" s="18" t="str">
        <f t="shared" si="12"/>
        <v>Put</v>
      </c>
      <c r="AK12" s="18">
        <f t="shared" si="13"/>
        <v>9.7922420830780883E-7</v>
      </c>
      <c r="AL12" s="3">
        <f t="shared" si="14"/>
        <v>9.7922420830780883E-7</v>
      </c>
      <c r="AM12" s="3">
        <f t="shared" si="15"/>
        <v>5.4267071998861969</v>
      </c>
      <c r="AN12" s="3">
        <f t="shared" si="16"/>
        <v>5.3848332860789805</v>
      </c>
    </row>
    <row r="13" spans="1:40" x14ac:dyDescent="0.25">
      <c r="A13" s="1">
        <v>45322.666666666664</v>
      </c>
      <c r="B13">
        <v>20240216</v>
      </c>
      <c r="C13">
        <v>4663.5</v>
      </c>
      <c r="D13">
        <v>4648.2287960000003</v>
      </c>
      <c r="E13" t="s">
        <v>40</v>
      </c>
      <c r="F13">
        <v>3750</v>
      </c>
      <c r="G13">
        <v>10</v>
      </c>
      <c r="H13" t="s">
        <v>41</v>
      </c>
      <c r="I13" s="3">
        <v>0.3</v>
      </c>
      <c r="J13" s="3">
        <v>0.6</v>
      </c>
      <c r="K13" s="7">
        <v>40.44486689</v>
      </c>
      <c r="L13" s="3">
        <v>0.64329366399999999</v>
      </c>
      <c r="M13" s="3">
        <v>0.39522628999999998</v>
      </c>
      <c r="N13" s="3">
        <v>-3.3684119999999999E-3</v>
      </c>
      <c r="O13" s="3">
        <v>9.4286832000000001E-2</v>
      </c>
      <c r="P13" s="10">
        <v>1.07295615052148E-5</v>
      </c>
      <c r="Q13" s="3">
        <v>-7.5735974999999997E-2</v>
      </c>
      <c r="R13">
        <v>0</v>
      </c>
      <c r="S13" t="b">
        <v>1</v>
      </c>
      <c r="T13" s="1">
        <v>45322.666666666664</v>
      </c>
      <c r="U13" s="1">
        <v>45338.666666666664</v>
      </c>
      <c r="V13" s="5">
        <f t="shared" si="0"/>
        <v>4.3835616438356165E-2</v>
      </c>
      <c r="W13">
        <v>3.7900000000000003E-2</v>
      </c>
      <c r="X13" s="4">
        <v>0.2</v>
      </c>
      <c r="Y13" s="5">
        <f t="shared" si="1"/>
        <v>0.21801039920246174</v>
      </c>
      <c r="Z13">
        <f t="shared" si="2"/>
        <v>5.7900000000000007E-2</v>
      </c>
      <c r="AA13" s="3">
        <f t="shared" si="3"/>
        <v>4.3835616438356165E-2</v>
      </c>
      <c r="AB13" s="3">
        <f t="shared" si="4"/>
        <v>4.1873913807217097E-2</v>
      </c>
      <c r="AC13" s="3">
        <f t="shared" si="5"/>
        <v>5.2669660259039448</v>
      </c>
      <c r="AD13" s="3">
        <f t="shared" si="6"/>
        <v>0.99999993065156867</v>
      </c>
      <c r="AE13" s="3">
        <f t="shared" si="7"/>
        <v>6.9348431279422969E-8</v>
      </c>
      <c r="AF13">
        <f t="shared" si="8"/>
        <v>1.7899999999999999E-2</v>
      </c>
      <c r="AG13" s="3">
        <f t="shared" si="9"/>
        <v>5.2250921120967275</v>
      </c>
      <c r="AH13" s="3">
        <f t="shared" si="10"/>
        <v>0.99999991296578306</v>
      </c>
      <c r="AI13" s="3">
        <f t="shared" si="11"/>
        <v>8.7034216999623418E-8</v>
      </c>
      <c r="AJ13" s="18" t="str">
        <f t="shared" si="12"/>
        <v>Put</v>
      </c>
      <c r="AK13" s="18">
        <f t="shared" si="13"/>
        <v>2.430119559779871E-6</v>
      </c>
      <c r="AL13" s="3">
        <f t="shared" si="14"/>
        <v>2.430119559779871E-6</v>
      </c>
      <c r="AM13" s="3">
        <f t="shared" si="15"/>
        <v>5.2669660259039448</v>
      </c>
      <c r="AN13" s="3">
        <f t="shared" si="16"/>
        <v>5.2250921120967275</v>
      </c>
    </row>
    <row r="14" spans="1:40" x14ac:dyDescent="0.25">
      <c r="A14" s="1">
        <v>45322.666666666664</v>
      </c>
      <c r="B14">
        <v>20240216</v>
      </c>
      <c r="C14">
        <v>4663.5</v>
      </c>
      <c r="D14">
        <v>4648.2287960000003</v>
      </c>
      <c r="E14" t="s">
        <v>40</v>
      </c>
      <c r="F14">
        <v>3775</v>
      </c>
      <c r="G14">
        <v>10</v>
      </c>
      <c r="H14" t="s">
        <v>41</v>
      </c>
      <c r="I14" s="3">
        <v>0.3</v>
      </c>
      <c r="J14" s="3">
        <v>0.6</v>
      </c>
      <c r="K14" s="7">
        <v>39.688750550000002</v>
      </c>
      <c r="L14" s="3">
        <v>0.64329366399999999</v>
      </c>
      <c r="M14" s="3">
        <v>0.433188833</v>
      </c>
      <c r="N14" s="3">
        <v>-3.729502E-3</v>
      </c>
      <c r="O14" s="3">
        <v>0.103312877</v>
      </c>
      <c r="P14" s="10">
        <v>1.27529745919531E-5</v>
      </c>
      <c r="Q14" s="3">
        <v>-8.6684166000000007E-2</v>
      </c>
      <c r="R14">
        <v>0</v>
      </c>
      <c r="S14" t="b">
        <v>1</v>
      </c>
      <c r="T14" s="1">
        <v>45322.666666666664</v>
      </c>
      <c r="U14" s="1">
        <v>45338.666666666664</v>
      </c>
      <c r="V14" s="5">
        <f t="shared" si="0"/>
        <v>4.3835616438356165E-2</v>
      </c>
      <c r="W14">
        <v>3.7900000000000003E-2</v>
      </c>
      <c r="X14" s="4">
        <v>0.2</v>
      </c>
      <c r="Y14" s="5">
        <f t="shared" si="1"/>
        <v>0.21136585648379314</v>
      </c>
      <c r="Z14">
        <f t="shared" si="2"/>
        <v>5.7900000000000007E-2</v>
      </c>
      <c r="AA14" s="3">
        <f t="shared" si="3"/>
        <v>4.3835616438356165E-2</v>
      </c>
      <c r="AB14" s="3">
        <f t="shared" si="4"/>
        <v>4.1873913807217097E-2</v>
      </c>
      <c r="AC14" s="3">
        <f t="shared" si="5"/>
        <v>5.1082862629073604</v>
      </c>
      <c r="AD14" s="3">
        <f t="shared" si="6"/>
        <v>0.99999983745306531</v>
      </c>
      <c r="AE14" s="3">
        <f t="shared" si="7"/>
        <v>1.6254693470245859E-7</v>
      </c>
      <c r="AF14">
        <f t="shared" si="8"/>
        <v>1.7899999999999999E-2</v>
      </c>
      <c r="AG14" s="3">
        <f t="shared" si="9"/>
        <v>5.066412349100144</v>
      </c>
      <c r="AH14" s="3">
        <f t="shared" si="10"/>
        <v>0.99999979730835953</v>
      </c>
      <c r="AI14" s="3">
        <f t="shared" si="11"/>
        <v>2.0269164049991317E-7</v>
      </c>
      <c r="AJ14" s="18" t="str">
        <f t="shared" si="12"/>
        <v>Put</v>
      </c>
      <c r="AK14" s="18">
        <f t="shared" si="13"/>
        <v>5.8531529662607515E-6</v>
      </c>
      <c r="AL14" s="3">
        <f t="shared" si="14"/>
        <v>5.8531529662607515E-6</v>
      </c>
      <c r="AM14" s="3">
        <f t="shared" si="15"/>
        <v>5.1082862629073604</v>
      </c>
      <c r="AN14" s="3">
        <f t="shared" si="16"/>
        <v>5.066412349100144</v>
      </c>
    </row>
    <row r="15" spans="1:40" x14ac:dyDescent="0.25">
      <c r="A15" s="1">
        <v>45322.666666666664</v>
      </c>
      <c r="B15">
        <v>20240216</v>
      </c>
      <c r="C15">
        <v>4663.5</v>
      </c>
      <c r="D15">
        <v>4648.2287960000003</v>
      </c>
      <c r="E15" t="s">
        <v>40</v>
      </c>
      <c r="F15">
        <v>3800</v>
      </c>
      <c r="G15">
        <v>10</v>
      </c>
      <c r="H15" t="s">
        <v>41</v>
      </c>
      <c r="I15" s="3">
        <v>0.4</v>
      </c>
      <c r="J15" s="3">
        <v>0.6</v>
      </c>
      <c r="K15" s="7">
        <v>38.960480859999997</v>
      </c>
      <c r="L15" s="3">
        <v>0.64329366399999999</v>
      </c>
      <c r="M15" s="3">
        <v>0.47842179499999998</v>
      </c>
      <c r="N15" s="3">
        <v>-4.15614E-3</v>
      </c>
      <c r="O15" s="3">
        <v>0.113837551</v>
      </c>
      <c r="P15" s="10">
        <v>1.4701578538317E-5</v>
      </c>
      <c r="Q15" s="3">
        <v>-9.6295504000000004E-2</v>
      </c>
      <c r="R15">
        <v>0</v>
      </c>
      <c r="S15" t="b">
        <v>1</v>
      </c>
      <c r="T15" s="1">
        <v>45322.666666666664</v>
      </c>
      <c r="U15" s="1">
        <v>45338.666666666664</v>
      </c>
      <c r="V15" s="5">
        <f t="shared" si="0"/>
        <v>4.3835616438356165E-2</v>
      </c>
      <c r="W15">
        <v>3.7900000000000003E-2</v>
      </c>
      <c r="X15" s="4">
        <v>0.2</v>
      </c>
      <c r="Y15" s="5">
        <f t="shared" si="1"/>
        <v>0.204765172452441</v>
      </c>
      <c r="Z15">
        <f t="shared" si="2"/>
        <v>5.7900000000000007E-2</v>
      </c>
      <c r="AA15" s="3">
        <f t="shared" si="3"/>
        <v>4.3835616438356165E-2</v>
      </c>
      <c r="AB15" s="3">
        <f t="shared" si="4"/>
        <v>4.1873913807217097E-2</v>
      </c>
      <c r="AC15" s="3">
        <f t="shared" si="5"/>
        <v>4.9506538987165909</v>
      </c>
      <c r="AD15" s="3">
        <f t="shared" si="6"/>
        <v>0.99999963017730031</v>
      </c>
      <c r="AE15" s="3">
        <f t="shared" si="7"/>
        <v>3.6982269969025049E-7</v>
      </c>
      <c r="AF15">
        <f t="shared" si="8"/>
        <v>1.7899999999999999E-2</v>
      </c>
      <c r="AG15" s="3">
        <f t="shared" si="9"/>
        <v>4.9087799849093745</v>
      </c>
      <c r="AH15" s="3">
        <f t="shared" si="10"/>
        <v>0.99999954177639439</v>
      </c>
      <c r="AI15" s="3">
        <f t="shared" si="11"/>
        <v>4.5822360565413325E-7</v>
      </c>
      <c r="AJ15" s="18" t="str">
        <f t="shared" si="12"/>
        <v>Put</v>
      </c>
      <c r="AK15" s="18">
        <f t="shared" si="13"/>
        <v>1.3691083426984642E-5</v>
      </c>
      <c r="AL15" s="3">
        <f t="shared" si="14"/>
        <v>1.3691083426984642E-5</v>
      </c>
      <c r="AM15" s="3">
        <f t="shared" si="15"/>
        <v>4.9506538987165909</v>
      </c>
      <c r="AN15" s="3">
        <f t="shared" si="16"/>
        <v>4.9087799849093745</v>
      </c>
    </row>
    <row r="16" spans="1:40" x14ac:dyDescent="0.25">
      <c r="A16" s="1">
        <v>45322.666666666664</v>
      </c>
      <c r="B16">
        <v>20240216</v>
      </c>
      <c r="C16">
        <v>4663.5</v>
      </c>
      <c r="D16">
        <v>4648.2287960000003</v>
      </c>
      <c r="E16" t="s">
        <v>40</v>
      </c>
      <c r="F16">
        <v>3825</v>
      </c>
      <c r="G16">
        <v>10</v>
      </c>
      <c r="H16" t="s">
        <v>41</v>
      </c>
      <c r="I16" s="3">
        <v>0.4</v>
      </c>
      <c r="J16" s="3">
        <v>0.7</v>
      </c>
      <c r="K16" s="7">
        <v>38.226553809999999</v>
      </c>
      <c r="L16" s="3">
        <v>0.64329366399999999</v>
      </c>
      <c r="M16" s="3">
        <v>0.52821476099999998</v>
      </c>
      <c r="N16" s="3">
        <v>-4.6316179999999997E-3</v>
      </c>
      <c r="O16" s="3">
        <v>0.12540473699999999</v>
      </c>
      <c r="P16" s="10">
        <v>1.5973389158795999E-5</v>
      </c>
      <c r="Q16" s="3">
        <v>-0.100721177</v>
      </c>
      <c r="R16">
        <v>0</v>
      </c>
      <c r="S16" t="b">
        <v>1</v>
      </c>
      <c r="T16" s="1">
        <v>45322.666666666664</v>
      </c>
      <c r="U16" s="1">
        <v>45338.666666666664</v>
      </c>
      <c r="V16" s="5">
        <f t="shared" si="0"/>
        <v>4.3835616438356165E-2</v>
      </c>
      <c r="W16">
        <v>3.7900000000000003E-2</v>
      </c>
      <c r="X16" s="4">
        <v>0.2</v>
      </c>
      <c r="Y16" s="5">
        <f t="shared" si="1"/>
        <v>0.198207771906282</v>
      </c>
      <c r="Z16">
        <f t="shared" si="2"/>
        <v>5.7900000000000007E-2</v>
      </c>
      <c r="AA16" s="3">
        <f t="shared" si="3"/>
        <v>4.3835616438356165E-2</v>
      </c>
      <c r="AB16" s="3">
        <f t="shared" si="4"/>
        <v>4.1873913807217097E-2</v>
      </c>
      <c r="AC16" s="3">
        <f t="shared" si="5"/>
        <v>4.7940551968052159</v>
      </c>
      <c r="AD16" s="3">
        <f t="shared" si="6"/>
        <v>0.99999918278363942</v>
      </c>
      <c r="AE16" s="3">
        <f t="shared" si="7"/>
        <v>8.1721636055621354E-7</v>
      </c>
      <c r="AF16">
        <f t="shared" si="8"/>
        <v>1.7899999999999999E-2</v>
      </c>
      <c r="AG16" s="3">
        <f t="shared" si="9"/>
        <v>4.7521812829979995</v>
      </c>
      <c r="AH16" s="3">
        <f t="shared" si="10"/>
        <v>0.99999899383088864</v>
      </c>
      <c r="AI16" s="3">
        <f t="shared" si="11"/>
        <v>1.0061691113181774E-6</v>
      </c>
      <c r="AJ16" s="18" t="str">
        <f t="shared" si="12"/>
        <v>Put</v>
      </c>
      <c r="AK16" s="18">
        <f t="shared" si="13"/>
        <v>3.1119718927135297E-5</v>
      </c>
      <c r="AL16" s="3">
        <f t="shared" si="14"/>
        <v>3.1119718927135297E-5</v>
      </c>
      <c r="AM16" s="3">
        <f t="shared" si="15"/>
        <v>4.7940551968052159</v>
      </c>
      <c r="AN16" s="3">
        <f t="shared" si="16"/>
        <v>4.7521812829979995</v>
      </c>
    </row>
    <row r="17" spans="1:40" x14ac:dyDescent="0.25">
      <c r="A17" s="1">
        <v>45322.666666666664</v>
      </c>
      <c r="B17">
        <v>20240216</v>
      </c>
      <c r="C17">
        <v>4663.5</v>
      </c>
      <c r="D17">
        <v>4648.2287960000003</v>
      </c>
      <c r="E17" t="s">
        <v>40</v>
      </c>
      <c r="F17">
        <v>3850</v>
      </c>
      <c r="G17">
        <v>10</v>
      </c>
      <c r="H17" t="s">
        <v>41</v>
      </c>
      <c r="I17" s="3">
        <v>0.5</v>
      </c>
      <c r="J17" s="3">
        <v>0.7</v>
      </c>
      <c r="K17" s="7">
        <v>37.454335649999997</v>
      </c>
      <c r="L17" s="3">
        <v>0.64329366399999999</v>
      </c>
      <c r="M17" s="3">
        <v>0.57856918199999996</v>
      </c>
      <c r="N17" s="3">
        <v>-5.1298910000000001E-3</v>
      </c>
      <c r="O17" s="3">
        <v>0.1373595</v>
      </c>
      <c r="P17" s="10">
        <v>1.6795732473756E-5</v>
      </c>
      <c r="Q17" s="3">
        <v>-0.10167087700000001</v>
      </c>
      <c r="R17">
        <v>0</v>
      </c>
      <c r="S17" t="b">
        <v>1</v>
      </c>
      <c r="T17" s="1">
        <v>45322.666666666664</v>
      </c>
      <c r="U17" s="1">
        <v>45338.666666666664</v>
      </c>
      <c r="V17" s="5">
        <f t="shared" si="0"/>
        <v>4.3835616438356165E-2</v>
      </c>
      <c r="W17">
        <v>3.7900000000000003E-2</v>
      </c>
      <c r="X17" s="4">
        <v>0.2</v>
      </c>
      <c r="Y17" s="5">
        <f t="shared" si="1"/>
        <v>0.19169309088508829</v>
      </c>
      <c r="Z17">
        <f t="shared" si="2"/>
        <v>5.7900000000000007E-2</v>
      </c>
      <c r="AA17" s="3">
        <f t="shared" si="3"/>
        <v>4.3835616438356165E-2</v>
      </c>
      <c r="AB17" s="3">
        <f t="shared" si="4"/>
        <v>4.1873913807217097E-2</v>
      </c>
      <c r="AC17" s="3">
        <f t="shared" si="5"/>
        <v>4.6384766891169544</v>
      </c>
      <c r="AD17" s="3">
        <f t="shared" si="6"/>
        <v>0.99999824506743273</v>
      </c>
      <c r="AE17" s="3">
        <f t="shared" si="7"/>
        <v>1.7549325672383144E-6</v>
      </c>
      <c r="AF17">
        <f t="shared" si="8"/>
        <v>1.7899999999999999E-2</v>
      </c>
      <c r="AG17" s="3">
        <f t="shared" si="9"/>
        <v>4.596602775309738</v>
      </c>
      <c r="AH17" s="3">
        <f t="shared" si="10"/>
        <v>0.99999785282401887</v>
      </c>
      <c r="AI17" s="3">
        <f t="shared" si="11"/>
        <v>2.1471759811547419E-6</v>
      </c>
      <c r="AJ17" s="18" t="str">
        <f t="shared" si="12"/>
        <v>Put</v>
      </c>
      <c r="AK17" s="18">
        <f t="shared" si="13"/>
        <v>6.8776976536941148E-5</v>
      </c>
      <c r="AL17" s="3">
        <f t="shared" si="14"/>
        <v>6.8776976536941148E-5</v>
      </c>
      <c r="AM17" s="3">
        <f t="shared" si="15"/>
        <v>4.6384766891169544</v>
      </c>
      <c r="AN17" s="3">
        <f t="shared" si="16"/>
        <v>4.596602775309738</v>
      </c>
    </row>
    <row r="18" spans="1:40" x14ac:dyDescent="0.25">
      <c r="A18" s="1">
        <v>45322.666666666664</v>
      </c>
      <c r="B18">
        <v>20240216</v>
      </c>
      <c r="C18">
        <v>4663.5</v>
      </c>
      <c r="D18">
        <v>4648.2287960000003</v>
      </c>
      <c r="E18" t="s">
        <v>40</v>
      </c>
      <c r="F18">
        <v>3875</v>
      </c>
      <c r="G18">
        <v>10</v>
      </c>
      <c r="H18" t="s">
        <v>41</v>
      </c>
      <c r="I18" s="3">
        <v>0.5</v>
      </c>
      <c r="J18" s="3">
        <v>0.8</v>
      </c>
      <c r="K18" s="7">
        <v>36.64459995</v>
      </c>
      <c r="L18" s="3">
        <v>0.64329366399999999</v>
      </c>
      <c r="M18" s="3">
        <v>0.62887853599999999</v>
      </c>
      <c r="N18" s="3">
        <v>-5.6488500000000004E-3</v>
      </c>
      <c r="O18" s="3">
        <v>0.14964472000000001</v>
      </c>
      <c r="P18" s="10">
        <v>1.7551813849870398E-5</v>
      </c>
      <c r="Q18" s="3">
        <v>-0.10170338299999999</v>
      </c>
      <c r="R18">
        <v>0</v>
      </c>
      <c r="S18" t="b">
        <v>1</v>
      </c>
      <c r="T18" s="1">
        <v>45322.666666666664</v>
      </c>
      <c r="U18" s="1">
        <v>45338.666666666664</v>
      </c>
      <c r="V18" s="5">
        <f t="shared" si="0"/>
        <v>4.3835616438356165E-2</v>
      </c>
      <c r="W18">
        <v>3.7900000000000003E-2</v>
      </c>
      <c r="X18" s="4">
        <v>0.2</v>
      </c>
      <c r="Y18" s="5">
        <f t="shared" si="1"/>
        <v>0.1852205763794709</v>
      </c>
      <c r="Z18">
        <f t="shared" si="2"/>
        <v>5.7900000000000007E-2</v>
      </c>
      <c r="AA18" s="3">
        <f t="shared" si="3"/>
        <v>4.3835616438356165E-2</v>
      </c>
      <c r="AB18" s="3">
        <f t="shared" si="4"/>
        <v>4.1873913807217097E-2</v>
      </c>
      <c r="AC18" s="3">
        <f t="shared" si="5"/>
        <v>4.4839051691148804</v>
      </c>
      <c r="AD18" s="3">
        <f t="shared" si="6"/>
        <v>0.99999633553785672</v>
      </c>
      <c r="AE18" s="3">
        <f t="shared" si="7"/>
        <v>3.6644621432937839E-6</v>
      </c>
      <c r="AF18">
        <f t="shared" si="8"/>
        <v>1.7899999999999999E-2</v>
      </c>
      <c r="AG18" s="3">
        <f t="shared" si="9"/>
        <v>4.442031255307664</v>
      </c>
      <c r="AH18" s="3">
        <f t="shared" si="10"/>
        <v>0.99999554431942095</v>
      </c>
      <c r="AI18" s="3">
        <f t="shared" si="11"/>
        <v>4.4556805791058481E-6</v>
      </c>
      <c r="AJ18" s="18" t="str">
        <f t="shared" si="12"/>
        <v>Put</v>
      </c>
      <c r="AK18" s="18">
        <f t="shared" si="13"/>
        <v>1.4788203658543456E-4</v>
      </c>
      <c r="AL18" s="3">
        <f t="shared" si="14"/>
        <v>1.4788203658543456E-4</v>
      </c>
      <c r="AM18" s="3">
        <f t="shared" si="15"/>
        <v>4.4839051691148804</v>
      </c>
      <c r="AN18" s="3">
        <f t="shared" si="16"/>
        <v>4.442031255307664</v>
      </c>
    </row>
    <row r="19" spans="1:40" x14ac:dyDescent="0.25">
      <c r="A19" s="1">
        <v>45322.666666666664</v>
      </c>
      <c r="B19">
        <v>20240216</v>
      </c>
      <c r="C19">
        <v>4663.5</v>
      </c>
      <c r="D19">
        <v>4648.2287960000003</v>
      </c>
      <c r="E19" t="s">
        <v>40</v>
      </c>
      <c r="F19">
        <v>3900</v>
      </c>
      <c r="G19">
        <v>10</v>
      </c>
      <c r="H19" t="s">
        <v>41</v>
      </c>
      <c r="I19" s="3">
        <v>0.5</v>
      </c>
      <c r="J19" s="3">
        <v>0.8</v>
      </c>
      <c r="K19" s="7">
        <v>35.798101789999997</v>
      </c>
      <c r="L19" s="3">
        <v>0.64329366399999999</v>
      </c>
      <c r="M19" s="3">
        <v>0.67849021300000001</v>
      </c>
      <c r="N19" s="3">
        <v>-6.186057E-3</v>
      </c>
      <c r="O19" s="3">
        <v>0.16219823899999999</v>
      </c>
      <c r="P19" s="10">
        <v>1.86004216274043E-5</v>
      </c>
      <c r="Q19" s="3">
        <v>-0.102857559</v>
      </c>
      <c r="R19">
        <v>0</v>
      </c>
      <c r="S19" t="b">
        <v>1</v>
      </c>
      <c r="T19" s="1">
        <v>45322.666666666664</v>
      </c>
      <c r="U19" s="1">
        <v>45338.666666666664</v>
      </c>
      <c r="V19" s="5">
        <f t="shared" si="0"/>
        <v>4.3835616438356165E-2</v>
      </c>
      <c r="W19">
        <v>3.7900000000000003E-2</v>
      </c>
      <c r="X19" s="4">
        <v>0.2</v>
      </c>
      <c r="Y19" s="5">
        <f t="shared" si="1"/>
        <v>0.17878968604918033</v>
      </c>
      <c r="Z19">
        <f t="shared" si="2"/>
        <v>5.7900000000000007E-2</v>
      </c>
      <c r="AA19" s="3">
        <f t="shared" si="3"/>
        <v>4.3835616438356165E-2</v>
      </c>
      <c r="AB19" s="3">
        <f t="shared" si="4"/>
        <v>4.1873913807217097E-2</v>
      </c>
      <c r="AC19" s="3">
        <f t="shared" si="5"/>
        <v>4.3303276850540957</v>
      </c>
      <c r="AD19" s="3">
        <f t="shared" si="6"/>
        <v>0.99999255561921097</v>
      </c>
      <c r="AE19" s="3">
        <f t="shared" si="7"/>
        <v>7.4443807890490685E-6</v>
      </c>
      <c r="AF19">
        <f t="shared" si="8"/>
        <v>1.7899999999999999E-2</v>
      </c>
      <c r="AG19" s="3">
        <f t="shared" si="9"/>
        <v>4.2884537712468793</v>
      </c>
      <c r="AH19" s="3">
        <f t="shared" si="10"/>
        <v>0.99999100393823703</v>
      </c>
      <c r="AI19" s="3">
        <f t="shared" si="11"/>
        <v>8.9960617629778074E-6</v>
      </c>
      <c r="AJ19" s="18" t="str">
        <f t="shared" si="12"/>
        <v>Put</v>
      </c>
      <c r="AK19" s="18">
        <f t="shared" si="13"/>
        <v>3.0953089350728435E-4</v>
      </c>
      <c r="AL19" s="3">
        <f t="shared" si="14"/>
        <v>3.0953089350728435E-4</v>
      </c>
      <c r="AM19" s="3">
        <f t="shared" si="15"/>
        <v>4.3303276850540957</v>
      </c>
      <c r="AN19" s="3">
        <f t="shared" si="16"/>
        <v>4.2884537712468793</v>
      </c>
    </row>
    <row r="20" spans="1:40" x14ac:dyDescent="0.25">
      <c r="A20" s="1">
        <v>45322.666666666664</v>
      </c>
      <c r="B20">
        <v>20240216</v>
      </c>
      <c r="C20">
        <v>4663.5</v>
      </c>
      <c r="D20">
        <v>4648.2287960000003</v>
      </c>
      <c r="E20" t="s">
        <v>40</v>
      </c>
      <c r="F20">
        <v>3925</v>
      </c>
      <c r="G20">
        <v>10</v>
      </c>
      <c r="H20" t="s">
        <v>41</v>
      </c>
      <c r="I20" s="3">
        <v>0.6</v>
      </c>
      <c r="J20" s="3">
        <v>0.9</v>
      </c>
      <c r="K20" s="7">
        <v>34.932731230000002</v>
      </c>
      <c r="L20" s="3">
        <v>0.64329366399999999</v>
      </c>
      <c r="M20" s="3">
        <v>0.72971641200000004</v>
      </c>
      <c r="N20" s="3">
        <v>-6.7609410000000003E-3</v>
      </c>
      <c r="O20" s="3">
        <v>0.17546223799999999</v>
      </c>
      <c r="P20" s="10">
        <v>2.0437922511708199E-5</v>
      </c>
      <c r="Q20" s="3">
        <v>-0.107620563</v>
      </c>
      <c r="R20">
        <v>0</v>
      </c>
      <c r="S20" t="b">
        <v>1</v>
      </c>
      <c r="T20" s="1">
        <v>45322.666666666664</v>
      </c>
      <c r="U20" s="1">
        <v>45338.666666666664</v>
      </c>
      <c r="V20" s="5">
        <f t="shared" si="0"/>
        <v>4.3835616438356165E-2</v>
      </c>
      <c r="W20">
        <v>3.7900000000000003E-2</v>
      </c>
      <c r="X20" s="4">
        <v>0.2</v>
      </c>
      <c r="Y20" s="5">
        <f t="shared" si="1"/>
        <v>0.17239988795040936</v>
      </c>
      <c r="Z20">
        <f t="shared" si="2"/>
        <v>5.7900000000000007E-2</v>
      </c>
      <c r="AA20" s="3">
        <f t="shared" si="3"/>
        <v>4.3835616438356165E-2</v>
      </c>
      <c r="AB20" s="3">
        <f t="shared" si="4"/>
        <v>4.1873913807217097E-2</v>
      </c>
      <c r="AC20" s="3">
        <f t="shared" si="5"/>
        <v>4.177731533469391</v>
      </c>
      <c r="AD20" s="3">
        <f t="shared" si="6"/>
        <v>0.9999852784556178</v>
      </c>
      <c r="AE20" s="3">
        <f t="shared" si="7"/>
        <v>1.4721544382157422E-5</v>
      </c>
      <c r="AF20">
        <f t="shared" si="8"/>
        <v>1.7899999999999999E-2</v>
      </c>
      <c r="AG20" s="3">
        <f t="shared" si="9"/>
        <v>4.1358576196621737</v>
      </c>
      <c r="AH20" s="3">
        <f t="shared" si="10"/>
        <v>0.99998231842929952</v>
      </c>
      <c r="AI20" s="3">
        <f t="shared" si="11"/>
        <v>1.7681570700532451E-5</v>
      </c>
      <c r="AJ20" s="18" t="str">
        <f t="shared" si="12"/>
        <v>Put</v>
      </c>
      <c r="AK20" s="18">
        <f t="shared" si="13"/>
        <v>6.3103915518820941E-4</v>
      </c>
      <c r="AL20" s="3">
        <f t="shared" si="14"/>
        <v>6.3103915518820941E-4</v>
      </c>
      <c r="AM20" s="3">
        <f t="shared" si="15"/>
        <v>4.177731533469391</v>
      </c>
      <c r="AN20" s="3">
        <f t="shared" si="16"/>
        <v>4.1358576196621737</v>
      </c>
    </row>
    <row r="21" spans="1:40" x14ac:dyDescent="0.25">
      <c r="A21" s="1">
        <v>45322.666666666664</v>
      </c>
      <c r="B21">
        <v>20240216</v>
      </c>
      <c r="C21">
        <v>4663.5</v>
      </c>
      <c r="D21">
        <v>4648.2287960000003</v>
      </c>
      <c r="E21" t="s">
        <v>40</v>
      </c>
      <c r="F21">
        <v>3950</v>
      </c>
      <c r="G21">
        <v>10</v>
      </c>
      <c r="H21" t="s">
        <v>41</v>
      </c>
      <c r="I21" s="3">
        <v>0.7</v>
      </c>
      <c r="J21" s="3">
        <v>0.9</v>
      </c>
      <c r="K21" s="7">
        <v>34.06592594</v>
      </c>
      <c r="L21" s="3">
        <v>0.64329366399999999</v>
      </c>
      <c r="M21" s="3">
        <v>0.78569393399999998</v>
      </c>
      <c r="N21" s="3">
        <v>-7.4002260000000002E-3</v>
      </c>
      <c r="O21" s="3">
        <v>0.19002155000000001</v>
      </c>
      <c r="P21" s="10">
        <v>2.29080407941116E-5</v>
      </c>
      <c r="Q21" s="3">
        <v>-0.114715412</v>
      </c>
      <c r="R21">
        <v>0</v>
      </c>
      <c r="S21" t="b">
        <v>1</v>
      </c>
      <c r="T21" s="1">
        <v>45322.666666666664</v>
      </c>
      <c r="U21" s="1">
        <v>45338.666666666664</v>
      </c>
      <c r="V21" s="5">
        <f t="shared" si="0"/>
        <v>4.3835616438356165E-2</v>
      </c>
      <c r="W21">
        <v>3.7900000000000003E-2</v>
      </c>
      <c r="X21" s="4">
        <v>0.2</v>
      </c>
      <c r="Y21" s="5">
        <f t="shared" si="1"/>
        <v>0.16605066027175058</v>
      </c>
      <c r="Z21">
        <f t="shared" si="2"/>
        <v>5.7900000000000007E-2</v>
      </c>
      <c r="AA21" s="3">
        <f t="shared" si="3"/>
        <v>4.3835616438356165E-2</v>
      </c>
      <c r="AB21" s="3">
        <f t="shared" si="4"/>
        <v>4.1873913807217097E-2</v>
      </c>
      <c r="AC21" s="3">
        <f t="shared" si="5"/>
        <v>4.0261042528695894</v>
      </c>
      <c r="AD21" s="3">
        <f t="shared" si="6"/>
        <v>0.99997164572287423</v>
      </c>
      <c r="AE21" s="3">
        <f t="shared" si="7"/>
        <v>2.8354277125777577E-5</v>
      </c>
      <c r="AF21">
        <f t="shared" si="8"/>
        <v>1.7899999999999999E-2</v>
      </c>
      <c r="AG21" s="3">
        <f t="shared" si="9"/>
        <v>3.9842303390623734</v>
      </c>
      <c r="AH21" s="3">
        <f t="shared" si="10"/>
        <v>0.99996615040829806</v>
      </c>
      <c r="AI21" s="3">
        <f t="shared" si="11"/>
        <v>3.3849591701989645E-5</v>
      </c>
      <c r="AJ21" s="18" t="str">
        <f t="shared" si="12"/>
        <v>Put</v>
      </c>
      <c r="AK21" s="18">
        <f t="shared" si="13"/>
        <v>1.2537653372510227E-3</v>
      </c>
      <c r="AL21" s="3">
        <f t="shared" si="14"/>
        <v>1.2537653372510227E-3</v>
      </c>
      <c r="AM21" s="3">
        <f t="shared" si="15"/>
        <v>4.0261042528695894</v>
      </c>
      <c r="AN21" s="3">
        <f t="shared" si="16"/>
        <v>3.9842303390623734</v>
      </c>
    </row>
    <row r="22" spans="1:40" x14ac:dyDescent="0.25">
      <c r="A22" s="1">
        <v>45322.666666666664</v>
      </c>
      <c r="B22">
        <v>20240216</v>
      </c>
      <c r="C22">
        <v>4663.5</v>
      </c>
      <c r="D22">
        <v>4648.2287960000003</v>
      </c>
      <c r="E22" t="s">
        <v>40</v>
      </c>
      <c r="F22">
        <v>3975</v>
      </c>
      <c r="G22">
        <v>10</v>
      </c>
      <c r="H22" t="s">
        <v>41</v>
      </c>
      <c r="I22" s="3">
        <v>0.7</v>
      </c>
      <c r="J22" s="3">
        <v>0.9</v>
      </c>
      <c r="K22" s="7">
        <v>33.197747620000001</v>
      </c>
      <c r="L22" s="3">
        <v>0.64329366399999999</v>
      </c>
      <c r="M22" s="3">
        <v>0.84704551800000005</v>
      </c>
      <c r="N22" s="3">
        <v>-8.1132400000000007E-3</v>
      </c>
      <c r="O22" s="3">
        <v>0.20604143799999999</v>
      </c>
      <c r="P22" s="10">
        <v>2.5754852753988999E-5</v>
      </c>
      <c r="Q22" s="3">
        <v>-0.122481285</v>
      </c>
      <c r="R22">
        <v>0</v>
      </c>
      <c r="S22" t="b">
        <v>1</v>
      </c>
      <c r="T22" s="1">
        <v>45322.666666666664</v>
      </c>
      <c r="U22" s="1">
        <v>45338.666666666664</v>
      </c>
      <c r="V22" s="5">
        <f t="shared" si="0"/>
        <v>4.3835616438356165E-2</v>
      </c>
      <c r="W22">
        <v>3.7900000000000003E-2</v>
      </c>
      <c r="X22" s="4">
        <v>0.2</v>
      </c>
      <c r="Y22" s="5">
        <f t="shared" si="1"/>
        <v>0.15974149107848595</v>
      </c>
      <c r="Z22">
        <f t="shared" si="2"/>
        <v>5.7900000000000007E-2</v>
      </c>
      <c r="AA22" s="3">
        <f t="shared" si="3"/>
        <v>4.3835616438356165E-2</v>
      </c>
      <c r="AB22" s="3">
        <f t="shared" si="4"/>
        <v>4.1873913807217097E-2</v>
      </c>
      <c r="AC22" s="3">
        <f t="shared" si="5"/>
        <v>3.8754336176308741</v>
      </c>
      <c r="AD22" s="3">
        <f t="shared" si="6"/>
        <v>0.9999467825031525</v>
      </c>
      <c r="AE22" s="3">
        <f t="shared" si="7"/>
        <v>5.3217496847460176E-5</v>
      </c>
      <c r="AF22">
        <f t="shared" si="8"/>
        <v>1.7899999999999999E-2</v>
      </c>
      <c r="AG22" s="3">
        <f t="shared" si="9"/>
        <v>3.8335597038236573</v>
      </c>
      <c r="AH22" s="3">
        <f t="shared" si="10"/>
        <v>0.99993684893603207</v>
      </c>
      <c r="AI22" s="3">
        <f t="shared" si="11"/>
        <v>6.3151063967927234E-5</v>
      </c>
      <c r="AJ22" s="18" t="str">
        <f t="shared" si="12"/>
        <v>Put</v>
      </c>
      <c r="AK22" s="18">
        <f t="shared" si="13"/>
        <v>2.4289828004622482E-3</v>
      </c>
      <c r="AL22" s="3">
        <f t="shared" si="14"/>
        <v>2.4289828004622482E-3</v>
      </c>
      <c r="AM22" s="3">
        <f t="shared" si="15"/>
        <v>3.8754336176308741</v>
      </c>
      <c r="AN22" s="3">
        <f t="shared" si="16"/>
        <v>3.8335597038236573</v>
      </c>
    </row>
    <row r="23" spans="1:40" x14ac:dyDescent="0.25">
      <c r="A23" s="1">
        <v>45322.666666666664</v>
      </c>
      <c r="B23">
        <v>20240216</v>
      </c>
      <c r="C23">
        <v>4663.5</v>
      </c>
      <c r="D23">
        <v>4648.2287960000003</v>
      </c>
      <c r="E23" t="s">
        <v>40</v>
      </c>
      <c r="F23">
        <v>4000</v>
      </c>
      <c r="G23">
        <v>10</v>
      </c>
      <c r="H23" t="s">
        <v>41</v>
      </c>
      <c r="I23" s="3">
        <v>0.8</v>
      </c>
      <c r="J23" s="3">
        <v>1</v>
      </c>
      <c r="K23" s="7">
        <v>32.328256230000001</v>
      </c>
      <c r="L23" s="3">
        <v>0.64329366399999999</v>
      </c>
      <c r="M23" s="3">
        <v>0.91450210499999995</v>
      </c>
      <c r="N23" s="3">
        <v>-8.9110149999999996E-3</v>
      </c>
      <c r="O23" s="3">
        <v>0.22371374999999999</v>
      </c>
      <c r="P23" s="10">
        <v>2.9049676558289799E-5</v>
      </c>
      <c r="Q23" s="3">
        <v>-0.131008443</v>
      </c>
      <c r="R23">
        <v>0</v>
      </c>
      <c r="S23" t="b">
        <v>1</v>
      </c>
      <c r="T23" s="1">
        <v>45322.666666666664</v>
      </c>
      <c r="U23" s="1">
        <v>45338.666666666664</v>
      </c>
      <c r="V23" s="5">
        <f t="shared" si="0"/>
        <v>4.3835616438356165E-2</v>
      </c>
      <c r="W23">
        <v>3.7900000000000003E-2</v>
      </c>
      <c r="X23" s="4">
        <v>0.2</v>
      </c>
      <c r="Y23" s="5">
        <f t="shared" si="1"/>
        <v>0.15347187806489052</v>
      </c>
      <c r="Z23">
        <f t="shared" si="2"/>
        <v>5.7900000000000007E-2</v>
      </c>
      <c r="AA23" s="3">
        <f t="shared" si="3"/>
        <v>4.3835616438356165E-2</v>
      </c>
      <c r="AB23" s="3">
        <f t="shared" si="4"/>
        <v>4.1873913807217097E-2</v>
      </c>
      <c r="AC23" s="3">
        <f t="shared" si="5"/>
        <v>3.7257076320814924</v>
      </c>
      <c r="AD23" s="3">
        <f t="shared" si="6"/>
        <v>0.99990261597357777</v>
      </c>
      <c r="AE23" s="3">
        <f t="shared" si="7"/>
        <v>9.7384026422226225E-5</v>
      </c>
      <c r="AF23">
        <f t="shared" si="8"/>
        <v>1.7899999999999999E-2</v>
      </c>
      <c r="AG23" s="3">
        <f t="shared" si="9"/>
        <v>3.683833718274276</v>
      </c>
      <c r="AH23" s="3">
        <f t="shared" si="10"/>
        <v>0.9998851239257901</v>
      </c>
      <c r="AI23" s="3">
        <f t="shared" si="11"/>
        <v>1.1487607420990939E-4</v>
      </c>
      <c r="AJ23" s="18" t="str">
        <f t="shared" si="12"/>
        <v>Put</v>
      </c>
      <c r="AK23" s="18">
        <f t="shared" si="13"/>
        <v>4.5911168282021242E-3</v>
      </c>
      <c r="AL23" s="3">
        <f t="shared" si="14"/>
        <v>4.5911168282021242E-3</v>
      </c>
      <c r="AM23" s="3">
        <f t="shared" si="15"/>
        <v>3.7257076320814924</v>
      </c>
      <c r="AN23" s="3">
        <f t="shared" si="16"/>
        <v>3.683833718274276</v>
      </c>
    </row>
    <row r="24" spans="1:40" x14ac:dyDescent="0.25">
      <c r="A24" s="1">
        <v>45322.666666666664</v>
      </c>
      <c r="B24">
        <v>20240216</v>
      </c>
      <c r="C24">
        <v>4663.5</v>
      </c>
      <c r="D24">
        <v>4648.2287960000003</v>
      </c>
      <c r="E24" t="s">
        <v>40</v>
      </c>
      <c r="F24">
        <v>4025</v>
      </c>
      <c r="G24">
        <v>10</v>
      </c>
      <c r="H24" t="s">
        <v>41</v>
      </c>
      <c r="I24" s="3">
        <v>0.9</v>
      </c>
      <c r="J24" s="3">
        <v>1.1000000000000001</v>
      </c>
      <c r="K24" s="7">
        <v>31.457510110000001</v>
      </c>
      <c r="L24" s="3">
        <v>0.64329366399999999</v>
      </c>
      <c r="M24" s="3">
        <v>0.98892581499999999</v>
      </c>
      <c r="N24" s="3">
        <v>-9.8066549999999992E-3</v>
      </c>
      <c r="O24" s="3">
        <v>0.24326199000000001</v>
      </c>
      <c r="P24" s="10">
        <v>3.2879987562163002E-5</v>
      </c>
      <c r="Q24" s="3">
        <v>-0.140402151</v>
      </c>
      <c r="R24">
        <v>0</v>
      </c>
      <c r="S24" t="b">
        <v>1</v>
      </c>
      <c r="T24" s="1">
        <v>45322.666666666664</v>
      </c>
      <c r="U24" s="1">
        <v>45338.666666666664</v>
      </c>
      <c r="V24" s="5">
        <f t="shared" si="0"/>
        <v>4.3835616438356165E-2</v>
      </c>
      <c r="W24">
        <v>3.7900000000000003E-2</v>
      </c>
      <c r="X24" s="4">
        <v>0.2</v>
      </c>
      <c r="Y24" s="5">
        <f t="shared" si="1"/>
        <v>0.14724132831425449</v>
      </c>
      <c r="Z24">
        <f t="shared" si="2"/>
        <v>5.7900000000000007E-2</v>
      </c>
      <c r="AA24" s="3">
        <f t="shared" si="3"/>
        <v>4.3835616438356165E-2</v>
      </c>
      <c r="AB24" s="3">
        <f t="shared" si="4"/>
        <v>4.1873913807217097E-2</v>
      </c>
      <c r="AC24" s="3">
        <f t="shared" si="5"/>
        <v>3.5769145247707979</v>
      </c>
      <c r="AD24" s="3">
        <f t="shared" si="6"/>
        <v>0.99982616310203476</v>
      </c>
      <c r="AE24" s="3">
        <f t="shared" si="7"/>
        <v>1.7383689796527161E-4</v>
      </c>
      <c r="AF24">
        <f t="shared" si="8"/>
        <v>1.7899999999999999E-2</v>
      </c>
      <c r="AG24" s="3">
        <f t="shared" si="9"/>
        <v>3.5350406109635815</v>
      </c>
      <c r="AH24" s="3">
        <f t="shared" si="10"/>
        <v>0.99979614375373382</v>
      </c>
      <c r="AI24" s="3">
        <f t="shared" si="11"/>
        <v>2.0385624626614607E-4</v>
      </c>
      <c r="AJ24" s="18" t="str">
        <f t="shared" si="12"/>
        <v>Put</v>
      </c>
      <c r="AK24" s="18">
        <f t="shared" si="13"/>
        <v>8.4709598030057176E-3</v>
      </c>
      <c r="AL24" s="3">
        <f t="shared" si="14"/>
        <v>8.4709598030057176E-3</v>
      </c>
      <c r="AM24" s="3">
        <f t="shared" si="15"/>
        <v>3.5769145247707979</v>
      </c>
      <c r="AN24" s="3">
        <f t="shared" si="16"/>
        <v>3.5350406109635815</v>
      </c>
    </row>
    <row r="25" spans="1:40" x14ac:dyDescent="0.25">
      <c r="A25" s="1">
        <v>45322.666666666664</v>
      </c>
      <c r="B25">
        <v>20240216</v>
      </c>
      <c r="C25">
        <v>4663.5</v>
      </c>
      <c r="D25">
        <v>4648.2287960000003</v>
      </c>
      <c r="E25" t="s">
        <v>40</v>
      </c>
      <c r="F25">
        <v>4050</v>
      </c>
      <c r="G25">
        <v>10</v>
      </c>
      <c r="H25" t="s">
        <v>41</v>
      </c>
      <c r="I25" s="3">
        <v>0.9</v>
      </c>
      <c r="J25" s="3">
        <v>1.2</v>
      </c>
      <c r="K25" s="7">
        <v>30.585565989999999</v>
      </c>
      <c r="L25" s="3">
        <v>0.64329366399999999</v>
      </c>
      <c r="M25" s="3">
        <v>1.071338685</v>
      </c>
      <c r="N25" s="3">
        <v>-1.0815808E-2</v>
      </c>
      <c r="O25" s="3">
        <v>0.264947496</v>
      </c>
      <c r="P25" s="10">
        <v>3.73536830636017E-5</v>
      </c>
      <c r="Q25" s="3">
        <v>-0.15078560999999999</v>
      </c>
      <c r="R25">
        <v>0</v>
      </c>
      <c r="S25" t="b">
        <v>1</v>
      </c>
      <c r="T25" s="1">
        <v>45322.666666666664</v>
      </c>
      <c r="U25" s="1">
        <v>45338.666666666664</v>
      </c>
      <c r="V25" s="5">
        <f t="shared" si="0"/>
        <v>4.3835616438356165E-2</v>
      </c>
      <c r="W25">
        <v>3.7900000000000003E-2</v>
      </c>
      <c r="X25" s="4">
        <v>0.2</v>
      </c>
      <c r="Y25" s="5">
        <f t="shared" si="1"/>
        <v>0.14104935806633342</v>
      </c>
      <c r="Z25">
        <f t="shared" si="2"/>
        <v>5.7900000000000007E-2</v>
      </c>
      <c r="AA25" s="3">
        <f t="shared" si="3"/>
        <v>4.3835616438356165E-2</v>
      </c>
      <c r="AB25" s="3">
        <f t="shared" si="4"/>
        <v>4.1873913807217097E-2</v>
      </c>
      <c r="AC25" s="3">
        <f t="shared" si="5"/>
        <v>3.4290427429156742</v>
      </c>
      <c r="AD25" s="3">
        <f t="shared" si="6"/>
        <v>0.99969714293597634</v>
      </c>
      <c r="AE25" s="3">
        <f t="shared" si="7"/>
        <v>3.0285706402371609E-4</v>
      </c>
      <c r="AF25">
        <f t="shared" si="8"/>
        <v>1.7899999999999999E-2</v>
      </c>
      <c r="AG25" s="3">
        <f t="shared" si="9"/>
        <v>3.3871688291084574</v>
      </c>
      <c r="AH25" s="3">
        <f t="shared" si="10"/>
        <v>0.99964691041628662</v>
      </c>
      <c r="AI25" s="3">
        <f t="shared" si="11"/>
        <v>3.5308958371341935E-4</v>
      </c>
      <c r="AJ25" s="18" t="str">
        <f t="shared" si="12"/>
        <v>Put</v>
      </c>
      <c r="AK25" s="18">
        <f t="shared" si="13"/>
        <v>1.5265088204122534E-2</v>
      </c>
      <c r="AL25" s="3">
        <f t="shared" si="14"/>
        <v>1.5265088204122534E-2</v>
      </c>
      <c r="AM25" s="3">
        <f t="shared" si="15"/>
        <v>3.4290427429156742</v>
      </c>
      <c r="AN25" s="3">
        <f t="shared" si="16"/>
        <v>3.3871688291084574</v>
      </c>
    </row>
    <row r="26" spans="1:40" x14ac:dyDescent="0.25">
      <c r="A26" s="1">
        <v>45322.666666666664</v>
      </c>
      <c r="B26">
        <v>20240216</v>
      </c>
      <c r="C26">
        <v>4663.5</v>
      </c>
      <c r="D26">
        <v>4648.2287960000003</v>
      </c>
      <c r="E26" t="s">
        <v>40</v>
      </c>
      <c r="F26">
        <v>4075</v>
      </c>
      <c r="G26">
        <v>10</v>
      </c>
      <c r="H26" t="s">
        <v>41</v>
      </c>
      <c r="I26" s="3">
        <v>1</v>
      </c>
      <c r="J26" s="3">
        <v>1.3</v>
      </c>
      <c r="K26" s="7">
        <v>29.71247902</v>
      </c>
      <c r="L26" s="3">
        <v>0.64329366399999999</v>
      </c>
      <c r="M26" s="3">
        <v>1.162958859</v>
      </c>
      <c r="N26" s="3">
        <v>-1.1957258E-2</v>
      </c>
      <c r="O26" s="3">
        <v>0.28907698799999998</v>
      </c>
      <c r="P26" s="10">
        <v>4.2604633241239997E-5</v>
      </c>
      <c r="Q26" s="3">
        <v>-0.16230355499999999</v>
      </c>
      <c r="R26">
        <v>0</v>
      </c>
      <c r="S26" t="b">
        <v>1</v>
      </c>
      <c r="T26" s="1">
        <v>45322.666666666664</v>
      </c>
      <c r="U26" s="1">
        <v>45338.666666666664</v>
      </c>
      <c r="V26" s="5">
        <f t="shared" si="0"/>
        <v>4.3835616438356165E-2</v>
      </c>
      <c r="W26">
        <v>3.7900000000000003E-2</v>
      </c>
      <c r="X26" s="4">
        <v>0.2</v>
      </c>
      <c r="Y26" s="5">
        <f t="shared" si="1"/>
        <v>0.13489549249195504</v>
      </c>
      <c r="Z26">
        <f t="shared" si="2"/>
        <v>5.7900000000000007E-2</v>
      </c>
      <c r="AA26" s="3">
        <f t="shared" si="3"/>
        <v>4.3835616438356165E-2</v>
      </c>
      <c r="AB26" s="3">
        <f t="shared" si="4"/>
        <v>4.1873913807217097E-2</v>
      </c>
      <c r="AC26" s="3">
        <f t="shared" si="5"/>
        <v>3.2820809470178722</v>
      </c>
      <c r="AD26" s="3">
        <f t="shared" si="6"/>
        <v>0.99948477990113804</v>
      </c>
      <c r="AE26" s="3">
        <f t="shared" si="7"/>
        <v>5.152200988619844E-4</v>
      </c>
      <c r="AF26">
        <f t="shared" si="8"/>
        <v>1.7899999999999999E-2</v>
      </c>
      <c r="AG26" s="3">
        <f t="shared" si="9"/>
        <v>3.2402070332106558</v>
      </c>
      <c r="AH26" s="3">
        <f t="shared" si="10"/>
        <v>0.99940278529208115</v>
      </c>
      <c r="AI26" s="3">
        <f t="shared" si="11"/>
        <v>5.9721470791884214E-4</v>
      </c>
      <c r="AJ26" s="18" t="str">
        <f t="shared" si="12"/>
        <v>Put</v>
      </c>
      <c r="AK26" s="18">
        <f t="shared" si="13"/>
        <v>2.6881167827685903E-2</v>
      </c>
      <c r="AL26" s="3">
        <f t="shared" si="14"/>
        <v>2.6881167827685903E-2</v>
      </c>
      <c r="AM26" s="3">
        <f t="shared" si="15"/>
        <v>3.2820809470178722</v>
      </c>
      <c r="AN26" s="3">
        <f t="shared" si="16"/>
        <v>3.2402070332106558</v>
      </c>
    </row>
    <row r="27" spans="1:40" x14ac:dyDescent="0.25">
      <c r="A27" s="1">
        <v>45322.666666666664</v>
      </c>
      <c r="B27">
        <v>20240216</v>
      </c>
      <c r="C27">
        <v>4663.5</v>
      </c>
      <c r="D27">
        <v>4648.2287960000003</v>
      </c>
      <c r="E27" t="s">
        <v>40</v>
      </c>
      <c r="F27">
        <v>4100</v>
      </c>
      <c r="G27">
        <v>10</v>
      </c>
      <c r="H27" t="s">
        <v>41</v>
      </c>
      <c r="I27" s="3">
        <v>1.2</v>
      </c>
      <c r="J27" s="3">
        <v>1.4</v>
      </c>
      <c r="K27" s="7">
        <v>28.838302890000001</v>
      </c>
      <c r="L27" s="3">
        <v>0.64329366399999999</v>
      </c>
      <c r="M27" s="3">
        <v>1.265246474</v>
      </c>
      <c r="N27" s="3">
        <v>-1.3253681E-2</v>
      </c>
      <c r="O27" s="3">
        <v>0.31601180200000001</v>
      </c>
      <c r="P27" s="10">
        <v>4.8801689833997802E-5</v>
      </c>
      <c r="Q27" s="3">
        <v>-0.17513287799999999</v>
      </c>
      <c r="R27">
        <v>0</v>
      </c>
      <c r="S27" t="b">
        <v>1</v>
      </c>
      <c r="T27" s="1">
        <v>45322.666666666664</v>
      </c>
      <c r="U27" s="1">
        <v>45338.666666666664</v>
      </c>
      <c r="V27" s="5">
        <f t="shared" si="0"/>
        <v>4.3835616438356165E-2</v>
      </c>
      <c r="W27">
        <v>3.7900000000000003E-2</v>
      </c>
      <c r="X27" s="4">
        <v>0.2</v>
      </c>
      <c r="Y27" s="5">
        <f t="shared" si="1"/>
        <v>0.12877926547451904</v>
      </c>
      <c r="Z27">
        <f t="shared" si="2"/>
        <v>5.7900000000000007E-2</v>
      </c>
      <c r="AA27" s="3">
        <f t="shared" si="3"/>
        <v>4.3835616438356165E-2</v>
      </c>
      <c r="AB27" s="3">
        <f t="shared" si="4"/>
        <v>4.1873913807217097E-2</v>
      </c>
      <c r="AC27" s="3">
        <f t="shared" si="5"/>
        <v>3.1360180056459614</v>
      </c>
      <c r="AD27" s="3">
        <f t="shared" si="6"/>
        <v>0.99914370655582374</v>
      </c>
      <c r="AE27" s="3">
        <f t="shared" si="7"/>
        <v>8.5629344417623762E-4</v>
      </c>
      <c r="AF27">
        <f t="shared" si="8"/>
        <v>1.7899999999999999E-2</v>
      </c>
      <c r="AG27" s="3">
        <f t="shared" si="9"/>
        <v>3.0941440918387451</v>
      </c>
      <c r="AH27" s="3">
        <f t="shared" si="10"/>
        <v>0.99901309201154653</v>
      </c>
      <c r="AI27" s="3">
        <f t="shared" si="11"/>
        <v>9.869079884534612E-4</v>
      </c>
      <c r="AJ27" s="18" t="str">
        <f t="shared" si="12"/>
        <v>Put</v>
      </c>
      <c r="AK27" s="18">
        <f t="shared" si="13"/>
        <v>4.6281418203318658E-2</v>
      </c>
      <c r="AL27" s="3">
        <f t="shared" si="14"/>
        <v>4.6281418203318658E-2</v>
      </c>
      <c r="AM27" s="3">
        <f t="shared" si="15"/>
        <v>3.1360180056459614</v>
      </c>
      <c r="AN27" s="3">
        <f t="shared" si="16"/>
        <v>3.0941440918387451</v>
      </c>
    </row>
    <row r="28" spans="1:40" x14ac:dyDescent="0.25">
      <c r="A28" s="1">
        <v>45322.666666666664</v>
      </c>
      <c r="B28">
        <v>20240216</v>
      </c>
      <c r="C28">
        <v>4663.5</v>
      </c>
      <c r="D28">
        <v>4648.2287960000003</v>
      </c>
      <c r="E28" t="s">
        <v>40</v>
      </c>
      <c r="F28">
        <v>4125</v>
      </c>
      <c r="G28">
        <v>10</v>
      </c>
      <c r="H28" t="s">
        <v>41</v>
      </c>
      <c r="I28" s="3">
        <v>1.3</v>
      </c>
      <c r="J28" s="3">
        <v>1.5</v>
      </c>
      <c r="K28" s="7">
        <v>27.963124740000001</v>
      </c>
      <c r="L28" s="3">
        <v>0.64329366399999999</v>
      </c>
      <c r="M28" s="3">
        <v>1.3799743289999999</v>
      </c>
      <c r="N28" s="3">
        <v>-1.4732706E-2</v>
      </c>
      <c r="O28" s="3">
        <v>0.34618123899999997</v>
      </c>
      <c r="P28" s="10">
        <v>5.61573173309359E-5</v>
      </c>
      <c r="Q28" s="3">
        <v>-0.18948340399999999</v>
      </c>
      <c r="R28">
        <v>0</v>
      </c>
      <c r="S28" t="b">
        <v>1</v>
      </c>
      <c r="T28" s="1">
        <v>45322.666666666664</v>
      </c>
      <c r="U28" s="1">
        <v>45338.666666666664</v>
      </c>
      <c r="V28" s="5">
        <f t="shared" si="0"/>
        <v>4.3835616438356165E-2</v>
      </c>
      <c r="W28">
        <v>3.7900000000000003E-2</v>
      </c>
      <c r="X28" s="4">
        <v>0.2</v>
      </c>
      <c r="Y28" s="5">
        <f t="shared" si="1"/>
        <v>0.12270021939813681</v>
      </c>
      <c r="Z28">
        <f t="shared" si="2"/>
        <v>5.7900000000000007E-2</v>
      </c>
      <c r="AA28" s="3">
        <f t="shared" si="3"/>
        <v>4.3835616438356165E-2</v>
      </c>
      <c r="AB28" s="3">
        <f t="shared" si="4"/>
        <v>4.1873913807217097E-2</v>
      </c>
      <c r="AC28" s="3">
        <f t="shared" si="5"/>
        <v>2.9908429903758469</v>
      </c>
      <c r="AD28" s="3">
        <f t="shared" si="6"/>
        <v>0.99860895750798162</v>
      </c>
      <c r="AE28" s="3">
        <f t="shared" si="7"/>
        <v>1.3910424920184001E-3</v>
      </c>
      <c r="AF28">
        <f t="shared" si="8"/>
        <v>1.7899999999999999E-2</v>
      </c>
      <c r="AG28" s="3">
        <f t="shared" si="9"/>
        <v>2.9489690765686296</v>
      </c>
      <c r="AH28" s="3">
        <f t="shared" si="10"/>
        <v>0.99840582061458905</v>
      </c>
      <c r="AI28" s="3">
        <f t="shared" si="11"/>
        <v>1.5941793854109634E-3</v>
      </c>
      <c r="AJ28" s="18" t="str">
        <f t="shared" si="12"/>
        <v>Put</v>
      </c>
      <c r="AK28" s="18">
        <f t="shared" si="13"/>
        <v>7.794722208039051E-2</v>
      </c>
      <c r="AL28" s="3">
        <f t="shared" si="14"/>
        <v>7.794722208039051E-2</v>
      </c>
      <c r="AM28" s="3">
        <f t="shared" si="15"/>
        <v>2.9908429903758469</v>
      </c>
      <c r="AN28" s="3">
        <f t="shared" si="16"/>
        <v>2.9489690765686296</v>
      </c>
    </row>
    <row r="29" spans="1:40" x14ac:dyDescent="0.25">
      <c r="A29" s="1">
        <v>45322.666666666664</v>
      </c>
      <c r="B29">
        <v>20240216</v>
      </c>
      <c r="C29">
        <v>4663.5</v>
      </c>
      <c r="D29">
        <v>4648.2287960000003</v>
      </c>
      <c r="E29" t="s">
        <v>40</v>
      </c>
      <c r="F29">
        <v>4150</v>
      </c>
      <c r="G29">
        <v>10</v>
      </c>
      <c r="H29" t="s">
        <v>41</v>
      </c>
      <c r="I29" s="3">
        <v>1.4</v>
      </c>
      <c r="J29" s="3">
        <v>1.6</v>
      </c>
      <c r="K29" s="7">
        <v>27.08702946</v>
      </c>
      <c r="L29" s="3">
        <v>0.64329366399999999</v>
      </c>
      <c r="M29" s="3">
        <v>1.5092955589999999</v>
      </c>
      <c r="N29" s="3">
        <v>-1.6428101000000001E-2</v>
      </c>
      <c r="O29" s="3">
        <v>0.38009517500000001</v>
      </c>
      <c r="P29" s="10">
        <v>6.4936694258341195E-5</v>
      </c>
      <c r="Q29" s="3">
        <v>-0.20559207099999999</v>
      </c>
      <c r="R29">
        <v>0</v>
      </c>
      <c r="S29" t="b">
        <v>1</v>
      </c>
      <c r="T29" s="1">
        <v>45322.666666666664</v>
      </c>
      <c r="U29" s="1">
        <v>45338.666666666664</v>
      </c>
      <c r="V29" s="5">
        <f t="shared" si="0"/>
        <v>4.3835616438356165E-2</v>
      </c>
      <c r="W29">
        <v>3.7900000000000003E-2</v>
      </c>
      <c r="X29" s="4">
        <v>0.2</v>
      </c>
      <c r="Y29" s="5">
        <f t="shared" si="1"/>
        <v>0.11665790494217422</v>
      </c>
      <c r="Z29">
        <f t="shared" si="2"/>
        <v>5.7900000000000007E-2</v>
      </c>
      <c r="AA29" s="3">
        <f t="shared" si="3"/>
        <v>4.3835616438356165E-2</v>
      </c>
      <c r="AB29" s="3">
        <f t="shared" si="4"/>
        <v>4.1873913807217097E-2</v>
      </c>
      <c r="AC29" s="3">
        <f t="shared" si="5"/>
        <v>2.8465451708841996</v>
      </c>
      <c r="AD29" s="3">
        <f t="shared" si="6"/>
        <v>0.99779017707760509</v>
      </c>
      <c r="AE29" s="3">
        <f t="shared" si="7"/>
        <v>2.2098229223949657E-3</v>
      </c>
      <c r="AF29">
        <f t="shared" si="8"/>
        <v>1.7899999999999999E-2</v>
      </c>
      <c r="AG29" s="3">
        <f t="shared" si="9"/>
        <v>2.8046712570769827</v>
      </c>
      <c r="AH29" s="3">
        <f t="shared" si="10"/>
        <v>0.99748160388810958</v>
      </c>
      <c r="AI29" s="3">
        <f t="shared" si="11"/>
        <v>2.5183961118903724E-3</v>
      </c>
      <c r="AJ29" s="18" t="str">
        <f t="shared" si="12"/>
        <v>Put</v>
      </c>
      <c r="AK29" s="18">
        <f t="shared" si="13"/>
        <v>0.12848553368501037</v>
      </c>
      <c r="AL29" s="3">
        <f t="shared" si="14"/>
        <v>0.12848553368501037</v>
      </c>
      <c r="AM29" s="3">
        <f t="shared" si="15"/>
        <v>2.8465451708841996</v>
      </c>
      <c r="AN29" s="3">
        <f t="shared" si="16"/>
        <v>2.8046712570769827</v>
      </c>
    </row>
    <row r="30" spans="1:40" x14ac:dyDescent="0.25">
      <c r="A30" s="1">
        <v>45322.666666666664</v>
      </c>
      <c r="B30">
        <v>20240216</v>
      </c>
      <c r="C30">
        <v>4663.5</v>
      </c>
      <c r="D30">
        <v>4648.2287960000003</v>
      </c>
      <c r="E30" t="s">
        <v>40</v>
      </c>
      <c r="F30">
        <v>4175</v>
      </c>
      <c r="G30">
        <v>10</v>
      </c>
      <c r="H30" t="s">
        <v>41</v>
      </c>
      <c r="I30" s="3">
        <v>1.6</v>
      </c>
      <c r="J30" s="3">
        <v>1.8</v>
      </c>
      <c r="K30" s="7">
        <v>26.210065239999999</v>
      </c>
      <c r="L30" s="3">
        <v>0.64329366399999999</v>
      </c>
      <c r="M30" s="3">
        <v>1.6558282200000001</v>
      </c>
      <c r="N30" s="3">
        <v>-1.8381287E-2</v>
      </c>
      <c r="O30" s="3">
        <v>0.41835906299999998</v>
      </c>
      <c r="P30" s="10">
        <v>7.5477234701418696E-5</v>
      </c>
      <c r="Q30" s="3">
        <v>-0.22374101800000001</v>
      </c>
      <c r="R30">
        <v>0</v>
      </c>
      <c r="S30" t="b">
        <v>1</v>
      </c>
      <c r="T30" s="1">
        <v>45322.666666666664</v>
      </c>
      <c r="U30" s="1">
        <v>45338.666666666664</v>
      </c>
      <c r="V30" s="5">
        <f t="shared" si="0"/>
        <v>4.3835616438356165E-2</v>
      </c>
      <c r="W30">
        <v>3.7900000000000003E-2</v>
      </c>
      <c r="X30" s="4">
        <v>0.2</v>
      </c>
      <c r="Y30" s="5">
        <f t="shared" si="1"/>
        <v>0.11065188088196226</v>
      </c>
      <c r="Z30">
        <f t="shared" si="2"/>
        <v>5.7900000000000007E-2</v>
      </c>
      <c r="AA30" s="3">
        <f t="shared" si="3"/>
        <v>4.3835616438356165E-2</v>
      </c>
      <c r="AB30" s="3">
        <f t="shared" si="4"/>
        <v>4.1873913807217097E-2</v>
      </c>
      <c r="AC30" s="3">
        <f t="shared" si="5"/>
        <v>2.7031140101891897</v>
      </c>
      <c r="AD30" s="3">
        <f t="shared" si="6"/>
        <v>0.99656534100279437</v>
      </c>
      <c r="AE30" s="3">
        <f t="shared" si="7"/>
        <v>3.434658997205642E-3</v>
      </c>
      <c r="AF30">
        <f t="shared" si="8"/>
        <v>1.7899999999999999E-2</v>
      </c>
      <c r="AG30" s="3">
        <f t="shared" si="9"/>
        <v>2.6612400963819725</v>
      </c>
      <c r="AH30" s="3">
        <f t="shared" si="10"/>
        <v>0.99610732900706367</v>
      </c>
      <c r="AI30" s="3">
        <f t="shared" si="11"/>
        <v>3.8926709929362879E-3</v>
      </c>
      <c r="AJ30" s="18" t="str">
        <f t="shared" si="12"/>
        <v>Put</v>
      </c>
      <c r="AK30" s="18">
        <f t="shared" si="13"/>
        <v>0.20739115927097984</v>
      </c>
      <c r="AL30" s="3">
        <f t="shared" si="14"/>
        <v>0.20739115927097984</v>
      </c>
      <c r="AM30" s="3">
        <f t="shared" si="15"/>
        <v>2.7031140101891897</v>
      </c>
      <c r="AN30" s="3">
        <f t="shared" si="16"/>
        <v>2.6612400963819725</v>
      </c>
    </row>
    <row r="31" spans="1:40" x14ac:dyDescent="0.25">
      <c r="A31" s="1">
        <v>45322.666666666664</v>
      </c>
      <c r="B31">
        <v>20240216</v>
      </c>
      <c r="C31">
        <v>4663.5</v>
      </c>
      <c r="D31">
        <v>4648.2287960000003</v>
      </c>
      <c r="E31" t="s">
        <v>42</v>
      </c>
      <c r="F31">
        <v>4200</v>
      </c>
      <c r="G31">
        <v>10</v>
      </c>
      <c r="H31" t="s">
        <v>41</v>
      </c>
      <c r="I31" s="3">
        <v>449.3</v>
      </c>
      <c r="J31" s="3">
        <v>451.2</v>
      </c>
      <c r="K31" s="7">
        <v>25.332278939999998</v>
      </c>
      <c r="L31" s="3">
        <v>0.64329366399999999</v>
      </c>
      <c r="M31" s="3">
        <v>450.19438450000001</v>
      </c>
      <c r="N31" s="3">
        <v>0.97453022700000003</v>
      </c>
      <c r="O31" s="3">
        <v>0.46169681299999998</v>
      </c>
      <c r="P31" s="10">
        <v>9.6381966706545404E-5</v>
      </c>
      <c r="Q31" s="3">
        <v>-0.26689333799999998</v>
      </c>
      <c r="R31">
        <v>0</v>
      </c>
      <c r="S31" t="b">
        <v>1</v>
      </c>
      <c r="T31" s="1">
        <v>45322.666666666664</v>
      </c>
      <c r="U31" s="1">
        <v>45338.666666666664</v>
      </c>
      <c r="V31" s="5">
        <f t="shared" si="0"/>
        <v>4.3835616438356165E-2</v>
      </c>
      <c r="W31">
        <v>3.7900000000000003E-2</v>
      </c>
      <c r="X31" s="4">
        <v>0.2</v>
      </c>
      <c r="Y31" s="5">
        <f t="shared" si="1"/>
        <v>0.10468171389545848</v>
      </c>
      <c r="Z31">
        <f t="shared" si="2"/>
        <v>5.7900000000000007E-2</v>
      </c>
      <c r="AA31" s="3">
        <f t="shared" si="3"/>
        <v>4.3835616438356165E-2</v>
      </c>
      <c r="AB31" s="3">
        <f t="shared" si="4"/>
        <v>4.1873913807217097E-2</v>
      </c>
      <c r="AC31" s="3">
        <f t="shared" si="5"/>
        <v>2.5605391600333198</v>
      </c>
      <c r="AD31" s="3">
        <f t="shared" si="6"/>
        <v>0.99477450577837079</v>
      </c>
      <c r="AE31" s="3">
        <f t="shared" si="7"/>
        <v>5.2254942216292243E-3</v>
      </c>
      <c r="AF31">
        <f t="shared" si="8"/>
        <v>1.7899999999999999E-2</v>
      </c>
      <c r="AG31" s="3">
        <f t="shared" si="9"/>
        <v>2.5186652462261025</v>
      </c>
      <c r="AH31" s="3">
        <f t="shared" si="10"/>
        <v>0.99410997034866655</v>
      </c>
      <c r="AI31" s="3">
        <f t="shared" si="11"/>
        <v>5.8900296513334071E-3</v>
      </c>
      <c r="AJ31" s="18">
        <f t="shared" si="12"/>
        <v>470.79992749866778</v>
      </c>
      <c r="AK31" s="18" t="str">
        <f t="shared" si="13"/>
        <v>Call</v>
      </c>
      <c r="AL31" s="3">
        <f t="shared" si="14"/>
        <v>470.79992749866778</v>
      </c>
      <c r="AM31" s="3">
        <f t="shared" si="15"/>
        <v>2.5605391600333198</v>
      </c>
      <c r="AN31" s="3">
        <f t="shared" si="16"/>
        <v>2.5186652462261025</v>
      </c>
    </row>
    <row r="32" spans="1:40" x14ac:dyDescent="0.25">
      <c r="A32" s="1">
        <v>45322.666666666664</v>
      </c>
      <c r="B32">
        <v>20240216</v>
      </c>
      <c r="C32">
        <v>4663.5</v>
      </c>
      <c r="D32">
        <v>4648.2287960000003</v>
      </c>
      <c r="E32" t="s">
        <v>40</v>
      </c>
      <c r="F32">
        <v>4200</v>
      </c>
      <c r="G32">
        <v>10</v>
      </c>
      <c r="H32" t="s">
        <v>41</v>
      </c>
      <c r="I32" s="3">
        <v>1.7</v>
      </c>
      <c r="J32" s="3">
        <v>1.9</v>
      </c>
      <c r="K32" s="7">
        <v>25.332278939999998</v>
      </c>
      <c r="L32" s="3">
        <v>0.64329366399999999</v>
      </c>
      <c r="M32" s="3">
        <v>1.82279357</v>
      </c>
      <c r="N32" s="3">
        <v>-2.0643528000000001E-2</v>
      </c>
      <c r="O32" s="3">
        <v>0.46169681299999998</v>
      </c>
      <c r="P32" s="10">
        <v>8.8938957927220302E-5</v>
      </c>
      <c r="Q32" s="3">
        <v>-0.246282745</v>
      </c>
      <c r="R32">
        <v>0</v>
      </c>
      <c r="S32" t="b">
        <v>1</v>
      </c>
      <c r="T32" s="1">
        <v>45322.666666666664</v>
      </c>
      <c r="U32" s="1">
        <v>45338.666666666664</v>
      </c>
      <c r="V32" s="5">
        <f t="shared" si="0"/>
        <v>4.3835616438356165E-2</v>
      </c>
      <c r="W32">
        <v>3.7900000000000003E-2</v>
      </c>
      <c r="X32" s="4">
        <v>0.2</v>
      </c>
      <c r="Y32" s="5">
        <f t="shared" si="1"/>
        <v>0.10468171389545848</v>
      </c>
      <c r="Z32">
        <f t="shared" si="2"/>
        <v>5.7900000000000007E-2</v>
      </c>
      <c r="AA32" s="3">
        <f t="shared" si="3"/>
        <v>4.3835616438356165E-2</v>
      </c>
      <c r="AB32" s="3">
        <f t="shared" si="4"/>
        <v>4.1873913807217097E-2</v>
      </c>
      <c r="AC32" s="3">
        <f t="shared" si="5"/>
        <v>2.5605391600333198</v>
      </c>
      <c r="AD32" s="3">
        <f t="shared" si="6"/>
        <v>0.99477450577837079</v>
      </c>
      <c r="AE32" s="3">
        <f t="shared" si="7"/>
        <v>5.2254942216292243E-3</v>
      </c>
      <c r="AF32">
        <f t="shared" si="8"/>
        <v>1.7899999999999999E-2</v>
      </c>
      <c r="AG32" s="3">
        <f t="shared" si="9"/>
        <v>2.5186652462261025</v>
      </c>
      <c r="AH32" s="3">
        <f t="shared" si="10"/>
        <v>0.99410997034866655</v>
      </c>
      <c r="AI32" s="3">
        <f t="shared" si="11"/>
        <v>5.8900296513334071E-3</v>
      </c>
      <c r="AJ32" s="18" t="str">
        <f t="shared" si="12"/>
        <v>Put</v>
      </c>
      <c r="AK32" s="18">
        <f t="shared" si="13"/>
        <v>0.32796718002771286</v>
      </c>
      <c r="AL32" s="3">
        <f t="shared" si="14"/>
        <v>0.32796718002771286</v>
      </c>
      <c r="AM32" s="3">
        <f t="shared" si="15"/>
        <v>2.5605391600333198</v>
      </c>
      <c r="AN32" s="3">
        <f t="shared" si="16"/>
        <v>2.5186652462261025</v>
      </c>
    </row>
    <row r="33" spans="1:40" x14ac:dyDescent="0.25">
      <c r="A33" s="1">
        <v>45322.666666666664</v>
      </c>
      <c r="B33">
        <v>20240216</v>
      </c>
      <c r="C33">
        <v>4663.5</v>
      </c>
      <c r="D33">
        <v>4648.2287960000003</v>
      </c>
      <c r="E33" t="s">
        <v>42</v>
      </c>
      <c r="F33">
        <v>4225</v>
      </c>
      <c r="G33">
        <v>10</v>
      </c>
      <c r="H33" t="s">
        <v>41</v>
      </c>
      <c r="I33" s="3">
        <v>424.5</v>
      </c>
      <c r="J33" s="3">
        <v>426.5</v>
      </c>
      <c r="K33" s="7">
        <v>24.462944090000001</v>
      </c>
      <c r="L33" s="3">
        <v>0.64329366399999999</v>
      </c>
      <c r="M33" s="3">
        <v>425.43441580000001</v>
      </c>
      <c r="N33" s="3">
        <v>0.97185476699999995</v>
      </c>
      <c r="O33" s="3">
        <v>0.51172052899999998</v>
      </c>
      <c r="P33" s="3">
        <v>1.06963E-4</v>
      </c>
      <c r="Q33" s="3">
        <v>-0.27621297</v>
      </c>
      <c r="R33">
        <v>0</v>
      </c>
      <c r="S33" t="b">
        <v>1</v>
      </c>
      <c r="T33" s="1">
        <v>45322.666666666664</v>
      </c>
      <c r="U33" s="1">
        <v>45338.666666666664</v>
      </c>
      <c r="V33" s="5">
        <f t="shared" si="0"/>
        <v>4.3835616438356165E-2</v>
      </c>
      <c r="W33">
        <v>3.7900000000000003E-2</v>
      </c>
      <c r="X33" s="4">
        <v>0.2</v>
      </c>
      <c r="Y33" s="5">
        <f t="shared" si="1"/>
        <v>9.8746978375643946E-2</v>
      </c>
      <c r="Z33">
        <f t="shared" si="2"/>
        <v>5.7900000000000007E-2</v>
      </c>
      <c r="AA33" s="3">
        <f t="shared" si="3"/>
        <v>4.3835616438356165E-2</v>
      </c>
      <c r="AB33" s="3">
        <f t="shared" si="4"/>
        <v>4.1873913807217097E-2</v>
      </c>
      <c r="AC33" s="3">
        <f t="shared" si="5"/>
        <v>2.4188104564032411</v>
      </c>
      <c r="AD33" s="3">
        <f t="shared" si="6"/>
        <v>0.9922143241707343</v>
      </c>
      <c r="AE33" s="3">
        <f t="shared" si="7"/>
        <v>7.7856758292656888E-3</v>
      </c>
      <c r="AF33">
        <f t="shared" si="8"/>
        <v>1.7899999999999999E-2</v>
      </c>
      <c r="AG33" s="3">
        <f t="shared" si="9"/>
        <v>2.3769365425960238</v>
      </c>
      <c r="AH33" s="3">
        <f t="shared" si="10"/>
        <v>0.99127145447143383</v>
      </c>
      <c r="AI33" s="3">
        <f t="shared" si="11"/>
        <v>8.7285455285661707E-3</v>
      </c>
      <c r="AJ33" s="18">
        <f t="shared" si="12"/>
        <v>446.02184840521022</v>
      </c>
      <c r="AK33" s="18" t="str">
        <f t="shared" si="13"/>
        <v>Call</v>
      </c>
      <c r="AL33" s="3">
        <f t="shared" si="14"/>
        <v>446.02184840521022</v>
      </c>
      <c r="AM33" s="3">
        <f t="shared" si="15"/>
        <v>2.4188104564032411</v>
      </c>
      <c r="AN33" s="3">
        <f t="shared" si="16"/>
        <v>2.3769365425960238</v>
      </c>
    </row>
    <row r="34" spans="1:40" x14ac:dyDescent="0.25">
      <c r="A34" s="1">
        <v>45322.666666666664</v>
      </c>
      <c r="B34">
        <v>20240216</v>
      </c>
      <c r="C34">
        <v>4663.5</v>
      </c>
      <c r="D34">
        <v>4648.2287960000003</v>
      </c>
      <c r="E34" t="s">
        <v>40</v>
      </c>
      <c r="F34">
        <v>4225</v>
      </c>
      <c r="G34">
        <v>10</v>
      </c>
      <c r="H34" t="s">
        <v>41</v>
      </c>
      <c r="I34" s="3">
        <v>1.9</v>
      </c>
      <c r="J34" s="3">
        <v>2.1</v>
      </c>
      <c r="K34" s="7">
        <v>24.462944090000001</v>
      </c>
      <c r="L34" s="3">
        <v>0.64329366399999999</v>
      </c>
      <c r="M34" s="3">
        <v>2.018903527</v>
      </c>
      <c r="N34" s="3">
        <v>-2.3318987999999999E-2</v>
      </c>
      <c r="O34" s="3">
        <v>0.51172052899999998</v>
      </c>
      <c r="P34" s="3">
        <v>1.06963E-4</v>
      </c>
      <c r="Q34" s="3">
        <v>-0.27621297</v>
      </c>
      <c r="R34">
        <v>0</v>
      </c>
      <c r="S34" t="b">
        <v>1</v>
      </c>
      <c r="T34" s="1">
        <v>45322.666666666664</v>
      </c>
      <c r="U34" s="1">
        <v>45338.666666666664</v>
      </c>
      <c r="V34" s="5">
        <f t="shared" si="0"/>
        <v>4.3835616438356165E-2</v>
      </c>
      <c r="W34">
        <v>3.7900000000000003E-2</v>
      </c>
      <c r="X34" s="4">
        <v>0.2</v>
      </c>
      <c r="Y34" s="5">
        <f t="shared" si="1"/>
        <v>9.8746978375643946E-2</v>
      </c>
      <c r="Z34">
        <f t="shared" si="2"/>
        <v>5.7900000000000007E-2</v>
      </c>
      <c r="AA34" s="3">
        <f t="shared" si="3"/>
        <v>4.3835616438356165E-2</v>
      </c>
      <c r="AB34" s="3">
        <f t="shared" si="4"/>
        <v>4.1873913807217097E-2</v>
      </c>
      <c r="AC34" s="3">
        <f t="shared" si="5"/>
        <v>2.4188104564032411</v>
      </c>
      <c r="AD34" s="3">
        <f t="shared" si="6"/>
        <v>0.9922143241707343</v>
      </c>
      <c r="AE34" s="3">
        <f t="shared" si="7"/>
        <v>7.7856758292656888E-3</v>
      </c>
      <c r="AF34">
        <f t="shared" si="8"/>
        <v>1.7899999999999999E-2</v>
      </c>
      <c r="AG34" s="3">
        <f t="shared" si="9"/>
        <v>2.3769365425960238</v>
      </c>
      <c r="AH34" s="3">
        <f t="shared" si="10"/>
        <v>0.99127145447143383</v>
      </c>
      <c r="AI34" s="3">
        <f t="shared" si="11"/>
        <v>8.7285455285661707E-3</v>
      </c>
      <c r="AJ34" s="18" t="str">
        <f t="shared" si="12"/>
        <v>Put</v>
      </c>
      <c r="AK34" s="18">
        <f t="shared" si="13"/>
        <v>0.50838832276916435</v>
      </c>
      <c r="AL34" s="3">
        <f t="shared" si="14"/>
        <v>0.50838832276916435</v>
      </c>
      <c r="AM34" s="3">
        <f t="shared" si="15"/>
        <v>2.4188104564032411</v>
      </c>
      <c r="AN34" s="3">
        <f t="shared" si="16"/>
        <v>2.3769365425960238</v>
      </c>
    </row>
    <row r="35" spans="1:40" x14ac:dyDescent="0.25">
      <c r="A35" s="1">
        <v>45322.666666666664</v>
      </c>
      <c r="B35">
        <v>20240216</v>
      </c>
      <c r="C35">
        <v>4663.5</v>
      </c>
      <c r="D35">
        <v>4648.2287960000003</v>
      </c>
      <c r="E35" t="s">
        <v>42</v>
      </c>
      <c r="F35">
        <v>4250</v>
      </c>
      <c r="G35">
        <v>10</v>
      </c>
      <c r="H35" t="s">
        <v>41</v>
      </c>
      <c r="I35" s="3">
        <v>399.8</v>
      </c>
      <c r="J35" s="3">
        <v>401.8</v>
      </c>
      <c r="K35" s="7">
        <v>23.611115550000001</v>
      </c>
      <c r="L35" s="3">
        <v>0.64329366399999999</v>
      </c>
      <c r="M35" s="3">
        <v>400.71529909999998</v>
      </c>
      <c r="N35" s="3">
        <v>0.96862701399999995</v>
      </c>
      <c r="O35" s="3">
        <v>0.57047107900000005</v>
      </c>
      <c r="P35" s="3">
        <v>1.30195E-4</v>
      </c>
      <c r="Q35" s="3">
        <v>-0.31320021999999997</v>
      </c>
      <c r="R35">
        <v>0</v>
      </c>
      <c r="S35" t="b">
        <v>1</v>
      </c>
      <c r="T35" s="1">
        <v>45322.666666666664</v>
      </c>
      <c r="U35" s="1">
        <v>45338.666666666664</v>
      </c>
      <c r="V35" s="5">
        <f t="shared" si="0"/>
        <v>4.3835616438356165E-2</v>
      </c>
      <c r="W35">
        <v>3.7900000000000003E-2</v>
      </c>
      <c r="X35" s="4">
        <v>0.2</v>
      </c>
      <c r="Y35" s="5">
        <f t="shared" si="1"/>
        <v>9.284725624845562E-2</v>
      </c>
      <c r="Z35">
        <f t="shared" si="2"/>
        <v>5.7900000000000007E-2</v>
      </c>
      <c r="AA35" s="3">
        <f t="shared" si="3"/>
        <v>4.3835616438356165E-2</v>
      </c>
      <c r="AB35" s="3">
        <f t="shared" si="4"/>
        <v>4.1873913807217097E-2</v>
      </c>
      <c r="AC35" s="3">
        <f t="shared" si="5"/>
        <v>2.2779179151817543</v>
      </c>
      <c r="AD35" s="3">
        <f t="shared" si="6"/>
        <v>0.98863426566053425</v>
      </c>
      <c r="AE35" s="3">
        <f t="shared" si="7"/>
        <v>1.1365734339465758E-2</v>
      </c>
      <c r="AF35">
        <f t="shared" si="8"/>
        <v>1.7899999999999999E-2</v>
      </c>
      <c r="AG35" s="3">
        <f t="shared" si="9"/>
        <v>2.2360440013745371</v>
      </c>
      <c r="AH35" s="3">
        <f t="shared" si="10"/>
        <v>0.98732555548981238</v>
      </c>
      <c r="AI35" s="3">
        <f t="shared" si="11"/>
        <v>1.2674444510187604E-2</v>
      </c>
      <c r="AJ35" s="18">
        <f t="shared" si="12"/>
        <v>421.32782922534898</v>
      </c>
      <c r="AK35" s="18" t="str">
        <f t="shared" si="13"/>
        <v>Call</v>
      </c>
      <c r="AL35" s="3">
        <f t="shared" si="14"/>
        <v>421.32782922534898</v>
      </c>
      <c r="AM35" s="3">
        <f t="shared" si="15"/>
        <v>2.2779179151817543</v>
      </c>
      <c r="AN35" s="3">
        <f t="shared" si="16"/>
        <v>2.2360440013745371</v>
      </c>
    </row>
    <row r="36" spans="1:40" x14ac:dyDescent="0.25">
      <c r="A36" s="1">
        <v>45322.666666666664</v>
      </c>
      <c r="B36">
        <v>20240216</v>
      </c>
      <c r="C36">
        <v>4663.5</v>
      </c>
      <c r="D36">
        <v>4648.2287960000003</v>
      </c>
      <c r="E36" t="s">
        <v>40</v>
      </c>
      <c r="F36">
        <v>4250</v>
      </c>
      <c r="G36">
        <v>10</v>
      </c>
      <c r="H36" t="s">
        <v>41</v>
      </c>
      <c r="I36" s="3">
        <v>2.2000000000000002</v>
      </c>
      <c r="J36" s="3">
        <v>2.4</v>
      </c>
      <c r="K36" s="7">
        <v>23.611115550000001</v>
      </c>
      <c r="L36" s="3">
        <v>0.64329366399999999</v>
      </c>
      <c r="M36" s="3">
        <v>2.2558654090000001</v>
      </c>
      <c r="N36" s="3">
        <v>-2.6546740999999999E-2</v>
      </c>
      <c r="O36" s="3">
        <v>0.57047107900000005</v>
      </c>
      <c r="P36" s="3">
        <v>1.30195E-4</v>
      </c>
      <c r="Q36" s="3">
        <v>-0.31320021999999997</v>
      </c>
      <c r="R36">
        <v>0</v>
      </c>
      <c r="S36" t="b">
        <v>1</v>
      </c>
      <c r="T36" s="1">
        <v>45322.666666666664</v>
      </c>
      <c r="U36" s="1">
        <v>45338.666666666664</v>
      </c>
      <c r="V36" s="5">
        <f t="shared" si="0"/>
        <v>4.3835616438356165E-2</v>
      </c>
      <c r="W36">
        <v>3.7900000000000003E-2</v>
      </c>
      <c r="X36" s="4">
        <v>0.2</v>
      </c>
      <c r="Y36" s="5">
        <f t="shared" si="1"/>
        <v>9.284725624845562E-2</v>
      </c>
      <c r="Z36">
        <f t="shared" si="2"/>
        <v>5.7900000000000007E-2</v>
      </c>
      <c r="AA36" s="3">
        <f t="shared" si="3"/>
        <v>4.3835616438356165E-2</v>
      </c>
      <c r="AB36" s="3">
        <f t="shared" si="4"/>
        <v>4.1873913807217097E-2</v>
      </c>
      <c r="AC36" s="3">
        <f t="shared" si="5"/>
        <v>2.2779179151817543</v>
      </c>
      <c r="AD36" s="3">
        <f t="shared" si="6"/>
        <v>0.98863426566053425</v>
      </c>
      <c r="AE36" s="3">
        <f t="shared" si="7"/>
        <v>1.1365734339465758E-2</v>
      </c>
      <c r="AF36">
        <f t="shared" si="8"/>
        <v>1.7899999999999999E-2</v>
      </c>
      <c r="AG36" s="3">
        <f t="shared" si="9"/>
        <v>2.2360440013745371</v>
      </c>
      <c r="AH36" s="3">
        <f t="shared" si="10"/>
        <v>0.98732555548981238</v>
      </c>
      <c r="AI36" s="3">
        <f t="shared" si="11"/>
        <v>1.2674444510187604E-2</v>
      </c>
      <c r="AJ36" s="18" t="str">
        <f t="shared" si="12"/>
        <v>Put</v>
      </c>
      <c r="AK36" s="18">
        <f t="shared" si="13"/>
        <v>0.77286937910594133</v>
      </c>
      <c r="AL36" s="3">
        <f t="shared" si="14"/>
        <v>0.77286937910594133</v>
      </c>
      <c r="AM36" s="3">
        <f t="shared" si="15"/>
        <v>2.2779179151817543</v>
      </c>
      <c r="AN36" s="3">
        <f t="shared" si="16"/>
        <v>2.2360440013745371</v>
      </c>
    </row>
    <row r="37" spans="1:40" x14ac:dyDescent="0.25">
      <c r="A37" s="1">
        <v>45322.666666666664</v>
      </c>
      <c r="B37">
        <v>20240216</v>
      </c>
      <c r="C37">
        <v>4663.5</v>
      </c>
      <c r="D37">
        <v>4648.2287960000003</v>
      </c>
      <c r="E37" t="s">
        <v>42</v>
      </c>
      <c r="F37">
        <v>4275</v>
      </c>
      <c r="G37">
        <v>10</v>
      </c>
      <c r="H37" t="s">
        <v>41</v>
      </c>
      <c r="I37" s="3">
        <v>375.1</v>
      </c>
      <c r="J37" s="3">
        <v>377.1</v>
      </c>
      <c r="K37" s="7">
        <v>22.776515570000001</v>
      </c>
      <c r="L37" s="3">
        <v>0.64329366399999999</v>
      </c>
      <c r="M37" s="3">
        <v>376.0470325</v>
      </c>
      <c r="N37" s="3">
        <v>0.96471163500000001</v>
      </c>
      <c r="O37" s="3">
        <v>0.63963221800000003</v>
      </c>
      <c r="P37" s="3">
        <v>1.5933899999999999E-4</v>
      </c>
      <c r="Q37" s="3">
        <v>-0.35668940900000001</v>
      </c>
      <c r="R37">
        <v>0</v>
      </c>
      <c r="S37" t="b">
        <v>1</v>
      </c>
      <c r="T37" s="1">
        <v>45322.666666666664</v>
      </c>
      <c r="U37" s="1">
        <v>45338.666666666664</v>
      </c>
      <c r="V37" s="5">
        <f t="shared" si="0"/>
        <v>4.3835616438356165E-2</v>
      </c>
      <c r="W37">
        <v>3.7900000000000003E-2</v>
      </c>
      <c r="X37" s="4">
        <v>0.2</v>
      </c>
      <c r="Y37" s="5">
        <f t="shared" si="1"/>
        <v>8.6982136796057569E-2</v>
      </c>
      <c r="Z37">
        <f t="shared" si="2"/>
        <v>5.7900000000000007E-2</v>
      </c>
      <c r="AA37" s="3">
        <f t="shared" si="3"/>
        <v>4.3835616438356165E-2</v>
      </c>
      <c r="AB37" s="3">
        <f t="shared" si="4"/>
        <v>4.1873913807217097E-2</v>
      </c>
      <c r="AC37" s="3">
        <f t="shared" si="5"/>
        <v>2.1378517279273117</v>
      </c>
      <c r="AD37" s="3">
        <f t="shared" si="6"/>
        <v>0.98373561043141244</v>
      </c>
      <c r="AE37" s="3">
        <f t="shared" si="7"/>
        <v>1.6264389568587539E-2</v>
      </c>
      <c r="AF37">
        <f t="shared" si="8"/>
        <v>1.7899999999999999E-2</v>
      </c>
      <c r="AG37" s="3">
        <f t="shared" si="9"/>
        <v>2.0959778141200944</v>
      </c>
      <c r="AH37" s="3">
        <f t="shared" si="10"/>
        <v>0.98195792046647823</v>
      </c>
      <c r="AI37" s="3">
        <f t="shared" si="11"/>
        <v>1.8042079533521722E-2</v>
      </c>
      <c r="AJ37" s="18">
        <f t="shared" si="12"/>
        <v>396.7493339740513</v>
      </c>
      <c r="AK37" s="18" t="str">
        <f t="shared" si="13"/>
        <v>Call</v>
      </c>
      <c r="AL37" s="3">
        <f t="shared" si="14"/>
        <v>396.7493339740513</v>
      </c>
      <c r="AM37" s="3">
        <f t="shared" si="15"/>
        <v>2.1378517279273117</v>
      </c>
      <c r="AN37" s="3">
        <f t="shared" si="16"/>
        <v>2.0959778141200944</v>
      </c>
    </row>
    <row r="38" spans="1:40" x14ac:dyDescent="0.25">
      <c r="A38" s="1">
        <v>45322.666666666664</v>
      </c>
      <c r="B38">
        <v>20240216</v>
      </c>
      <c r="C38">
        <v>4663.5</v>
      </c>
      <c r="D38">
        <v>4648.2287960000003</v>
      </c>
      <c r="E38" t="s">
        <v>40</v>
      </c>
      <c r="F38">
        <v>4275</v>
      </c>
      <c r="G38">
        <v>10</v>
      </c>
      <c r="H38" t="s">
        <v>41</v>
      </c>
      <c r="I38" s="3">
        <v>2.4</v>
      </c>
      <c r="J38" s="3">
        <v>2.7</v>
      </c>
      <c r="K38" s="7">
        <v>22.776515570000001</v>
      </c>
      <c r="L38" s="3">
        <v>0.64329366399999999</v>
      </c>
      <c r="M38" s="3">
        <v>2.5436774870000001</v>
      </c>
      <c r="N38" s="3">
        <v>-3.0462119999999999E-2</v>
      </c>
      <c r="O38" s="3">
        <v>0.63963221800000003</v>
      </c>
      <c r="P38" s="3">
        <v>1.5933899999999999E-4</v>
      </c>
      <c r="Q38" s="3">
        <v>-0.35668940900000001</v>
      </c>
      <c r="R38">
        <v>0</v>
      </c>
      <c r="S38" t="b">
        <v>1</v>
      </c>
      <c r="T38" s="1">
        <v>45322.666666666664</v>
      </c>
      <c r="U38" s="1">
        <v>45338.666666666664</v>
      </c>
      <c r="V38" s="5">
        <f t="shared" si="0"/>
        <v>4.3835616438356165E-2</v>
      </c>
      <c r="W38">
        <v>3.7900000000000003E-2</v>
      </c>
      <c r="X38" s="4">
        <v>0.2</v>
      </c>
      <c r="Y38" s="5">
        <f t="shared" si="1"/>
        <v>8.6982136796057569E-2</v>
      </c>
      <c r="Z38">
        <f t="shared" si="2"/>
        <v>5.7900000000000007E-2</v>
      </c>
      <c r="AA38" s="3">
        <f t="shared" si="3"/>
        <v>4.3835616438356165E-2</v>
      </c>
      <c r="AB38" s="3">
        <f t="shared" si="4"/>
        <v>4.1873913807217097E-2</v>
      </c>
      <c r="AC38" s="3">
        <f t="shared" si="5"/>
        <v>2.1378517279273117</v>
      </c>
      <c r="AD38" s="3">
        <f t="shared" si="6"/>
        <v>0.98373561043141244</v>
      </c>
      <c r="AE38" s="3">
        <f t="shared" si="7"/>
        <v>1.6264389568587539E-2</v>
      </c>
      <c r="AF38">
        <f t="shared" si="8"/>
        <v>1.7899999999999999E-2</v>
      </c>
      <c r="AG38" s="3">
        <f t="shared" si="9"/>
        <v>2.0959778141200944</v>
      </c>
      <c r="AH38" s="3">
        <f t="shared" si="10"/>
        <v>0.98195792046647823</v>
      </c>
      <c r="AI38" s="3">
        <f t="shared" si="11"/>
        <v>1.8042079533521722E-2</v>
      </c>
      <c r="AJ38" s="18" t="str">
        <f t="shared" si="12"/>
        <v>Put</v>
      </c>
      <c r="AK38" s="18">
        <f t="shared" si="13"/>
        <v>1.15287436400655</v>
      </c>
      <c r="AL38" s="3">
        <f t="shared" si="14"/>
        <v>1.15287436400655</v>
      </c>
      <c r="AM38" s="3">
        <f t="shared" si="15"/>
        <v>2.1378517279273117</v>
      </c>
      <c r="AN38" s="3">
        <f t="shared" si="16"/>
        <v>2.0959778141200944</v>
      </c>
    </row>
    <row r="39" spans="1:40" x14ac:dyDescent="0.25">
      <c r="A39" s="1">
        <v>45322.666666666664</v>
      </c>
      <c r="B39">
        <v>20240216</v>
      </c>
      <c r="C39">
        <v>4663.5</v>
      </c>
      <c r="D39">
        <v>4648.2287960000003</v>
      </c>
      <c r="E39" t="s">
        <v>42</v>
      </c>
      <c r="F39">
        <v>4300</v>
      </c>
      <c r="G39">
        <v>10</v>
      </c>
      <c r="H39" t="s">
        <v>41</v>
      </c>
      <c r="I39" s="3">
        <v>350.5</v>
      </c>
      <c r="J39" s="3">
        <v>352.5</v>
      </c>
      <c r="K39" s="7">
        <v>21.95887213</v>
      </c>
      <c r="L39" s="3">
        <v>0.64329366399999999</v>
      </c>
      <c r="M39" s="3">
        <v>351.44250299999999</v>
      </c>
      <c r="N39" s="3">
        <v>0.95993604700000001</v>
      </c>
      <c r="O39" s="3">
        <v>0.72120241299999999</v>
      </c>
      <c r="P39" s="3">
        <v>1.9652100000000001E-4</v>
      </c>
      <c r="Q39" s="3">
        <v>-0.40890435600000002</v>
      </c>
      <c r="R39">
        <v>0</v>
      </c>
      <c r="S39" t="b">
        <v>1</v>
      </c>
      <c r="T39" s="1">
        <v>45322.666666666664</v>
      </c>
      <c r="U39" s="1">
        <v>45338.666666666664</v>
      </c>
      <c r="V39" s="5">
        <f t="shared" si="0"/>
        <v>4.3835616438356165E-2</v>
      </c>
      <c r="W39">
        <v>3.7900000000000003E-2</v>
      </c>
      <c r="X39" s="4">
        <v>0.2</v>
      </c>
      <c r="Y39" s="5">
        <f t="shared" si="1"/>
        <v>8.115121648526448E-2</v>
      </c>
      <c r="Z39">
        <f t="shared" si="2"/>
        <v>5.7900000000000007E-2</v>
      </c>
      <c r="AA39" s="3">
        <f t="shared" si="3"/>
        <v>4.3835616438356165E-2</v>
      </c>
      <c r="AB39" s="3">
        <f t="shared" si="4"/>
        <v>4.1873913807217097E-2</v>
      </c>
      <c r="AC39" s="3">
        <f t="shared" si="5"/>
        <v>1.9986022577765634</v>
      </c>
      <c r="AD39" s="3">
        <f t="shared" si="6"/>
        <v>0.97717429704325531</v>
      </c>
      <c r="AE39" s="3">
        <f t="shared" si="7"/>
        <v>2.2825702956744666E-2</v>
      </c>
      <c r="AF39">
        <f t="shared" si="8"/>
        <v>1.7899999999999999E-2</v>
      </c>
      <c r="AG39" s="3">
        <f t="shared" si="9"/>
        <v>1.9567283439693461</v>
      </c>
      <c r="AH39" s="3">
        <f t="shared" si="10"/>
        <v>0.97481029218856396</v>
      </c>
      <c r="AI39" s="3">
        <f t="shared" si="11"/>
        <v>2.5189707811436018E-2</v>
      </c>
      <c r="AJ39" s="18">
        <f t="shared" si="12"/>
        <v>372.32623411324494</v>
      </c>
      <c r="AK39" s="18" t="str">
        <f t="shared" si="13"/>
        <v>Call</v>
      </c>
      <c r="AL39" s="3">
        <f t="shared" si="14"/>
        <v>372.32623411324494</v>
      </c>
      <c r="AM39" s="3">
        <f t="shared" si="15"/>
        <v>1.9986022577765634</v>
      </c>
      <c r="AN39" s="3">
        <f t="shared" si="16"/>
        <v>1.9567283439693461</v>
      </c>
    </row>
    <row r="40" spans="1:40" x14ac:dyDescent="0.25">
      <c r="A40" s="1">
        <v>45322.666666666664</v>
      </c>
      <c r="B40">
        <v>20240216</v>
      </c>
      <c r="C40">
        <v>4663.5</v>
      </c>
      <c r="D40">
        <v>4648.2287960000003</v>
      </c>
      <c r="E40" t="s">
        <v>40</v>
      </c>
      <c r="F40">
        <v>4300</v>
      </c>
      <c r="G40">
        <v>10</v>
      </c>
      <c r="H40" t="s">
        <v>41</v>
      </c>
      <c r="I40" s="3">
        <v>2.7</v>
      </c>
      <c r="J40" s="3">
        <v>3</v>
      </c>
      <c r="K40" s="7">
        <v>21.95887213</v>
      </c>
      <c r="L40" s="3">
        <v>0.64329366399999999</v>
      </c>
      <c r="M40" s="3">
        <v>2.8952266930000001</v>
      </c>
      <c r="N40" s="3">
        <v>-3.5237708E-2</v>
      </c>
      <c r="O40" s="3">
        <v>0.72120241299999999</v>
      </c>
      <c r="P40" s="3">
        <v>1.9652100000000001E-4</v>
      </c>
      <c r="Q40" s="3">
        <v>-0.40890435600000002</v>
      </c>
      <c r="R40">
        <v>0</v>
      </c>
      <c r="S40" t="b">
        <v>1</v>
      </c>
      <c r="T40" s="1">
        <v>45322.666666666664</v>
      </c>
      <c r="U40" s="1">
        <v>45338.666666666664</v>
      </c>
      <c r="V40" s="5">
        <f t="shared" si="0"/>
        <v>4.3835616438356165E-2</v>
      </c>
      <c r="W40">
        <v>3.7900000000000003E-2</v>
      </c>
      <c r="X40" s="4">
        <v>0.2</v>
      </c>
      <c r="Y40" s="5">
        <f t="shared" si="1"/>
        <v>8.115121648526448E-2</v>
      </c>
      <c r="Z40">
        <f t="shared" si="2"/>
        <v>5.7900000000000007E-2</v>
      </c>
      <c r="AA40" s="3">
        <f t="shared" si="3"/>
        <v>4.3835616438356165E-2</v>
      </c>
      <c r="AB40" s="3">
        <f t="shared" si="4"/>
        <v>4.1873913807217097E-2</v>
      </c>
      <c r="AC40" s="3">
        <f t="shared" si="5"/>
        <v>1.9986022577765634</v>
      </c>
      <c r="AD40" s="3">
        <f t="shared" si="6"/>
        <v>0.97717429704325531</v>
      </c>
      <c r="AE40" s="3">
        <f t="shared" si="7"/>
        <v>2.2825702956744666E-2</v>
      </c>
      <c r="AF40">
        <f t="shared" si="8"/>
        <v>1.7899999999999999E-2</v>
      </c>
      <c r="AG40" s="3">
        <f t="shared" si="9"/>
        <v>1.9567283439693461</v>
      </c>
      <c r="AH40" s="3">
        <f t="shared" si="10"/>
        <v>0.97481029218856396</v>
      </c>
      <c r="AI40" s="3">
        <f t="shared" si="11"/>
        <v>2.5189707811436018E-2</v>
      </c>
      <c r="AJ40" s="18" t="str">
        <f t="shared" si="12"/>
        <v>Put</v>
      </c>
      <c r="AK40" s="18">
        <f t="shared" si="13"/>
        <v>1.6882747393990485</v>
      </c>
      <c r="AL40" s="3">
        <f t="shared" si="14"/>
        <v>1.6882747393990485</v>
      </c>
      <c r="AM40" s="3">
        <f t="shared" si="15"/>
        <v>1.9986022577765634</v>
      </c>
      <c r="AN40" s="3">
        <f t="shared" si="16"/>
        <v>1.9567283439693461</v>
      </c>
    </row>
    <row r="41" spans="1:40" x14ac:dyDescent="0.25">
      <c r="A41" s="1">
        <v>45322.666666666664</v>
      </c>
      <c r="B41">
        <v>20240216</v>
      </c>
      <c r="C41">
        <v>4663.5</v>
      </c>
      <c r="D41">
        <v>4648.2287960000003</v>
      </c>
      <c r="E41" t="s">
        <v>42</v>
      </c>
      <c r="F41">
        <v>4325</v>
      </c>
      <c r="G41">
        <v>10</v>
      </c>
      <c r="H41" t="s">
        <v>41</v>
      </c>
      <c r="I41" s="3">
        <v>325.89999999999998</v>
      </c>
      <c r="J41" s="3">
        <v>327.9</v>
      </c>
      <c r="K41" s="7">
        <v>21.161437060000001</v>
      </c>
      <c r="L41" s="3">
        <v>0.64329366399999999</v>
      </c>
      <c r="M41" s="3">
        <v>326.9212794</v>
      </c>
      <c r="N41" s="3">
        <v>0.95405495799999995</v>
      </c>
      <c r="O41" s="3">
        <v>0.81792645399999997</v>
      </c>
      <c r="P41" s="3">
        <v>2.44591E-4</v>
      </c>
      <c r="Q41" s="3">
        <v>-0.47263317500000002</v>
      </c>
      <c r="R41">
        <v>0</v>
      </c>
      <c r="S41" t="b">
        <v>1</v>
      </c>
      <c r="T41" s="1">
        <v>45322.666666666664</v>
      </c>
      <c r="U41" s="1">
        <v>45338.666666666664</v>
      </c>
      <c r="V41" s="5">
        <f t="shared" si="0"/>
        <v>4.3835616438356165E-2</v>
      </c>
      <c r="W41">
        <v>3.7900000000000003E-2</v>
      </c>
      <c r="X41" s="4">
        <v>0.2</v>
      </c>
      <c r="Y41" s="5">
        <f t="shared" si="1"/>
        <v>7.535409880093849E-2</v>
      </c>
      <c r="Z41">
        <f t="shared" si="2"/>
        <v>5.7900000000000007E-2</v>
      </c>
      <c r="AA41" s="3">
        <f t="shared" si="3"/>
        <v>4.3835616438356165E-2</v>
      </c>
      <c r="AB41" s="3">
        <f t="shared" si="4"/>
        <v>4.1873913807217097E-2</v>
      </c>
      <c r="AC41" s="3">
        <f t="shared" si="5"/>
        <v>1.8601600354656689</v>
      </c>
      <c r="AD41" s="3">
        <f t="shared" si="6"/>
        <v>0.96856855630624061</v>
      </c>
      <c r="AE41" s="3">
        <f t="shared" si="7"/>
        <v>3.1431443693759359E-2</v>
      </c>
      <c r="AF41">
        <f t="shared" si="8"/>
        <v>1.7899999999999999E-2</v>
      </c>
      <c r="AG41" s="3">
        <f t="shared" si="9"/>
        <v>1.8182861216584516</v>
      </c>
      <c r="AH41" s="3">
        <f t="shared" si="10"/>
        <v>0.9654897935666148</v>
      </c>
      <c r="AI41" s="3">
        <f t="shared" si="11"/>
        <v>3.4510206433385225E-2</v>
      </c>
      <c r="AJ41" s="18">
        <f t="shared" si="12"/>
        <v>348.10779967927101</v>
      </c>
      <c r="AK41" s="18" t="str">
        <f t="shared" si="13"/>
        <v>Call</v>
      </c>
      <c r="AL41" s="3">
        <f t="shared" si="14"/>
        <v>348.10779967927101</v>
      </c>
      <c r="AM41" s="3">
        <f t="shared" si="15"/>
        <v>1.8601600354656689</v>
      </c>
      <c r="AN41" s="3">
        <f t="shared" si="16"/>
        <v>1.8182861216584516</v>
      </c>
    </row>
    <row r="42" spans="1:40" x14ac:dyDescent="0.25">
      <c r="A42" s="1">
        <v>45322.666666666664</v>
      </c>
      <c r="B42">
        <v>20240216</v>
      </c>
      <c r="C42">
        <v>4663.5</v>
      </c>
      <c r="D42">
        <v>4648.2287960000003</v>
      </c>
      <c r="E42" t="s">
        <v>40</v>
      </c>
      <c r="F42">
        <v>4325</v>
      </c>
      <c r="G42">
        <v>10</v>
      </c>
      <c r="H42" t="s">
        <v>41</v>
      </c>
      <c r="I42" s="3">
        <v>3.2</v>
      </c>
      <c r="J42" s="3">
        <v>3.4</v>
      </c>
      <c r="K42" s="7">
        <v>21.161437060000001</v>
      </c>
      <c r="L42" s="3">
        <v>0.64329366399999999</v>
      </c>
      <c r="M42" s="3">
        <v>3.3300817070000002</v>
      </c>
      <c r="N42" s="3">
        <v>-4.1118795999999999E-2</v>
      </c>
      <c r="O42" s="3">
        <v>0.81792645399999997</v>
      </c>
      <c r="P42" s="3">
        <v>2.44591E-4</v>
      </c>
      <c r="Q42" s="3">
        <v>-0.47263317500000002</v>
      </c>
      <c r="R42">
        <v>0</v>
      </c>
      <c r="S42" t="b">
        <v>1</v>
      </c>
      <c r="T42" s="1">
        <v>45322.666666666664</v>
      </c>
      <c r="U42" s="1">
        <v>45338.666666666664</v>
      </c>
      <c r="V42" s="5">
        <f t="shared" si="0"/>
        <v>4.3835616438356165E-2</v>
      </c>
      <c r="W42">
        <v>3.7900000000000003E-2</v>
      </c>
      <c r="X42" s="4">
        <v>0.2</v>
      </c>
      <c r="Y42" s="5">
        <f t="shared" si="1"/>
        <v>7.535409880093849E-2</v>
      </c>
      <c r="Z42">
        <f t="shared" si="2"/>
        <v>5.7900000000000007E-2</v>
      </c>
      <c r="AA42" s="3">
        <f t="shared" si="3"/>
        <v>4.3835616438356165E-2</v>
      </c>
      <c r="AB42" s="3">
        <f t="shared" si="4"/>
        <v>4.1873913807217097E-2</v>
      </c>
      <c r="AC42" s="3">
        <f t="shared" si="5"/>
        <v>1.8601600354656689</v>
      </c>
      <c r="AD42" s="3">
        <f t="shared" si="6"/>
        <v>0.96856855630624061</v>
      </c>
      <c r="AE42" s="3">
        <f t="shared" si="7"/>
        <v>3.1431443693759359E-2</v>
      </c>
      <c r="AF42">
        <f t="shared" si="8"/>
        <v>1.7899999999999999E-2</v>
      </c>
      <c r="AG42" s="3">
        <f t="shared" si="9"/>
        <v>1.8182861216584516</v>
      </c>
      <c r="AH42" s="3">
        <f t="shared" si="10"/>
        <v>0.9654897935666148</v>
      </c>
      <c r="AI42" s="3">
        <f t="shared" si="11"/>
        <v>3.4510206433385225E-2</v>
      </c>
      <c r="AJ42" s="18" t="str">
        <f t="shared" si="12"/>
        <v>Put</v>
      </c>
      <c r="AK42" s="18">
        <f t="shared" si="13"/>
        <v>2.4283405416240669</v>
      </c>
      <c r="AL42" s="3">
        <f t="shared" si="14"/>
        <v>2.4283405416240669</v>
      </c>
      <c r="AM42" s="3">
        <f t="shared" si="15"/>
        <v>1.8601600354656689</v>
      </c>
      <c r="AN42" s="3">
        <f t="shared" si="16"/>
        <v>1.8182861216584516</v>
      </c>
    </row>
    <row r="43" spans="1:40" x14ac:dyDescent="0.25">
      <c r="A43" s="1">
        <v>45322.666666666664</v>
      </c>
      <c r="B43">
        <v>20240216</v>
      </c>
      <c r="C43">
        <v>4663.5</v>
      </c>
      <c r="D43">
        <v>4648.2287960000003</v>
      </c>
      <c r="E43" t="s">
        <v>42</v>
      </c>
      <c r="F43">
        <v>4350</v>
      </c>
      <c r="G43">
        <v>10</v>
      </c>
      <c r="H43" t="s">
        <v>41</v>
      </c>
      <c r="I43" s="3">
        <v>301.5</v>
      </c>
      <c r="J43" s="3">
        <v>303.5</v>
      </c>
      <c r="K43" s="7">
        <v>20.387386589999998</v>
      </c>
      <c r="L43" s="3">
        <v>0.64329366399999999</v>
      </c>
      <c r="M43" s="3">
        <v>302.50948929999998</v>
      </c>
      <c r="N43" s="3">
        <v>0.94674934099999997</v>
      </c>
      <c r="O43" s="3">
        <v>0.93302755199999998</v>
      </c>
      <c r="P43" s="3">
        <v>3.06275E-4</v>
      </c>
      <c r="Q43" s="3">
        <v>-0.54932380999999997</v>
      </c>
      <c r="R43">
        <v>0</v>
      </c>
      <c r="S43" t="b">
        <v>1</v>
      </c>
      <c r="T43" s="1">
        <v>45322.666666666664</v>
      </c>
      <c r="U43" s="1">
        <v>45338.666666666664</v>
      </c>
      <c r="V43" s="5">
        <f t="shared" si="0"/>
        <v>4.3835616438356165E-2</v>
      </c>
      <c r="W43">
        <v>3.7900000000000003E-2</v>
      </c>
      <c r="X43" s="4">
        <v>0.2</v>
      </c>
      <c r="Y43" s="5">
        <f t="shared" si="1"/>
        <v>6.9590394084188337E-2</v>
      </c>
      <c r="Z43">
        <f t="shared" si="2"/>
        <v>5.7900000000000007E-2</v>
      </c>
      <c r="AA43" s="3">
        <f t="shared" si="3"/>
        <v>4.3835616438356165E-2</v>
      </c>
      <c r="AB43" s="3">
        <f t="shared" si="4"/>
        <v>4.1873913807217097E-2</v>
      </c>
      <c r="AC43" s="3">
        <f t="shared" si="5"/>
        <v>1.7225157554662969</v>
      </c>
      <c r="AD43" s="3">
        <f t="shared" si="6"/>
        <v>0.95751193440092763</v>
      </c>
      <c r="AE43" s="3">
        <f t="shared" si="7"/>
        <v>4.2488065599072415E-2</v>
      </c>
      <c r="AF43">
        <f t="shared" si="8"/>
        <v>1.7899999999999999E-2</v>
      </c>
      <c r="AG43" s="3">
        <f t="shared" si="9"/>
        <v>1.6806418416590796</v>
      </c>
      <c r="AH43" s="3">
        <f t="shared" si="10"/>
        <v>0.95358374829300219</v>
      </c>
      <c r="AI43" s="3">
        <f t="shared" si="11"/>
        <v>4.6416251706997778E-2</v>
      </c>
      <c r="AJ43" s="18">
        <f t="shared" si="12"/>
        <v>324.15339005967871</v>
      </c>
      <c r="AK43" s="18" t="str">
        <f t="shared" si="13"/>
        <v>Call</v>
      </c>
      <c r="AL43" s="3">
        <f t="shared" si="14"/>
        <v>324.15339005967871</v>
      </c>
      <c r="AM43" s="3">
        <f t="shared" si="15"/>
        <v>1.7225157554662969</v>
      </c>
      <c r="AN43" s="3">
        <f t="shared" si="16"/>
        <v>1.6806418416590796</v>
      </c>
    </row>
    <row r="44" spans="1:40" x14ac:dyDescent="0.25">
      <c r="A44" s="1">
        <v>45322.666666666664</v>
      </c>
      <c r="B44">
        <v>20240216</v>
      </c>
      <c r="C44">
        <v>4663.5</v>
      </c>
      <c r="D44">
        <v>4648.2287960000003</v>
      </c>
      <c r="E44" t="s">
        <v>40</v>
      </c>
      <c r="F44">
        <v>4350</v>
      </c>
      <c r="G44">
        <v>10</v>
      </c>
      <c r="H44" t="s">
        <v>41</v>
      </c>
      <c r="I44" s="3">
        <v>3.7</v>
      </c>
      <c r="J44" s="3">
        <v>4</v>
      </c>
      <c r="K44" s="7">
        <v>20.387386589999998</v>
      </c>
      <c r="L44" s="3">
        <v>0.64329366399999999</v>
      </c>
      <c r="M44" s="3">
        <v>3.8743702369999999</v>
      </c>
      <c r="N44" s="3">
        <v>-4.8424413999999999E-2</v>
      </c>
      <c r="O44" s="3">
        <v>0.93302755199999998</v>
      </c>
      <c r="P44" s="3">
        <v>3.06275E-4</v>
      </c>
      <c r="Q44" s="3">
        <v>-0.54932380999999997</v>
      </c>
      <c r="R44">
        <v>0</v>
      </c>
      <c r="S44" t="b">
        <v>1</v>
      </c>
      <c r="T44" s="1">
        <v>45322.666666666664</v>
      </c>
      <c r="U44" s="1">
        <v>45338.666666666664</v>
      </c>
      <c r="V44" s="5">
        <f t="shared" si="0"/>
        <v>4.3835616438356165E-2</v>
      </c>
      <c r="W44">
        <v>3.7900000000000003E-2</v>
      </c>
      <c r="X44" s="4">
        <v>0.2</v>
      </c>
      <c r="Y44" s="5">
        <f t="shared" si="1"/>
        <v>6.9590394084188337E-2</v>
      </c>
      <c r="Z44">
        <f t="shared" si="2"/>
        <v>5.7900000000000007E-2</v>
      </c>
      <c r="AA44" s="3">
        <f t="shared" si="3"/>
        <v>4.3835616438356165E-2</v>
      </c>
      <c r="AB44" s="3">
        <f t="shared" si="4"/>
        <v>4.1873913807217097E-2</v>
      </c>
      <c r="AC44" s="3">
        <f t="shared" si="5"/>
        <v>1.7225157554662969</v>
      </c>
      <c r="AD44" s="3">
        <f t="shared" si="6"/>
        <v>0.95751193440092763</v>
      </c>
      <c r="AE44" s="3">
        <f t="shared" si="7"/>
        <v>4.2488065599072415E-2</v>
      </c>
      <c r="AF44">
        <f t="shared" si="8"/>
        <v>1.7899999999999999E-2</v>
      </c>
      <c r="AG44" s="3">
        <f t="shared" si="9"/>
        <v>1.6806418416590796</v>
      </c>
      <c r="AH44" s="3">
        <f t="shared" si="10"/>
        <v>0.95358374829300219</v>
      </c>
      <c r="AI44" s="3">
        <f t="shared" si="11"/>
        <v>4.6416251706997778E-2</v>
      </c>
      <c r="AJ44" s="18" t="str">
        <f t="shared" si="12"/>
        <v>Put</v>
      </c>
      <c r="AK44" s="18">
        <f t="shared" si="13"/>
        <v>3.4324311582305995</v>
      </c>
      <c r="AL44" s="3">
        <f t="shared" si="14"/>
        <v>3.4324311582305995</v>
      </c>
      <c r="AM44" s="3">
        <f t="shared" si="15"/>
        <v>1.7225157554662969</v>
      </c>
      <c r="AN44" s="3">
        <f t="shared" si="16"/>
        <v>1.6806418416590796</v>
      </c>
    </row>
    <row r="45" spans="1:40" x14ac:dyDescent="0.25">
      <c r="A45" s="1">
        <v>45322.666666666664</v>
      </c>
      <c r="B45">
        <v>20240216</v>
      </c>
      <c r="C45">
        <v>4663.5</v>
      </c>
      <c r="D45">
        <v>4648.2287960000003</v>
      </c>
      <c r="E45" t="s">
        <v>42</v>
      </c>
      <c r="F45">
        <v>4375</v>
      </c>
      <c r="G45">
        <v>10</v>
      </c>
      <c r="H45" t="s">
        <v>41</v>
      </c>
      <c r="I45" s="3">
        <v>277.2</v>
      </c>
      <c r="J45" s="3">
        <v>279.3</v>
      </c>
      <c r="K45" s="7">
        <v>19.636345339999998</v>
      </c>
      <c r="L45" s="3">
        <v>0.64329366399999999</v>
      </c>
      <c r="M45" s="3">
        <v>278.23841220000003</v>
      </c>
      <c r="N45" s="3">
        <v>0.93763755000000004</v>
      </c>
      <c r="O45" s="3">
        <v>1.0697103889999999</v>
      </c>
      <c r="P45" s="3">
        <v>3.84884E-4</v>
      </c>
      <c r="Q45" s="3">
        <v>-0.640389392</v>
      </c>
      <c r="R45">
        <v>0</v>
      </c>
      <c r="S45" t="b">
        <v>1</v>
      </c>
      <c r="T45" s="1">
        <v>45322.666666666664</v>
      </c>
      <c r="U45" s="1">
        <v>45338.666666666664</v>
      </c>
      <c r="V45" s="5">
        <f t="shared" si="0"/>
        <v>4.3835616438356165E-2</v>
      </c>
      <c r="W45">
        <v>3.7900000000000003E-2</v>
      </c>
      <c r="X45" s="4">
        <v>0.2</v>
      </c>
      <c r="Y45" s="5">
        <f t="shared" si="1"/>
        <v>6.3859719375203336E-2</v>
      </c>
      <c r="Z45">
        <f t="shared" si="2"/>
        <v>5.7900000000000007E-2</v>
      </c>
      <c r="AA45" s="3">
        <f t="shared" si="3"/>
        <v>4.3835616438356165E-2</v>
      </c>
      <c r="AB45" s="3">
        <f t="shared" si="4"/>
        <v>4.1873913807217097E-2</v>
      </c>
      <c r="AC45" s="3">
        <f t="shared" si="5"/>
        <v>1.5856602722323103</v>
      </c>
      <c r="AD45" s="3">
        <f t="shared" si="6"/>
        <v>0.94359180210586557</v>
      </c>
      <c r="AE45" s="3">
        <f t="shared" si="7"/>
        <v>5.6408197894134454E-2</v>
      </c>
      <c r="AF45">
        <f t="shared" si="8"/>
        <v>1.7899999999999999E-2</v>
      </c>
      <c r="AG45" s="3">
        <f t="shared" si="9"/>
        <v>1.543786358425093</v>
      </c>
      <c r="AH45" s="3">
        <f t="shared" si="10"/>
        <v>0.9386799514208819</v>
      </c>
      <c r="AI45" s="3">
        <f t="shared" si="11"/>
        <v>6.1320048579118054E-2</v>
      </c>
      <c r="AJ45" s="18">
        <f t="shared" si="12"/>
        <v>300.53270600143878</v>
      </c>
      <c r="AK45" s="18" t="str">
        <f t="shared" si="13"/>
        <v>Call</v>
      </c>
      <c r="AL45" s="3">
        <f t="shared" si="14"/>
        <v>300.53270600143878</v>
      </c>
      <c r="AM45" s="3">
        <f t="shared" si="15"/>
        <v>1.5856602722323103</v>
      </c>
      <c r="AN45" s="3">
        <f t="shared" si="16"/>
        <v>1.543786358425093</v>
      </c>
    </row>
    <row r="46" spans="1:40" x14ac:dyDescent="0.25">
      <c r="A46" s="1">
        <v>45322.666666666664</v>
      </c>
      <c r="B46">
        <v>20240216</v>
      </c>
      <c r="C46">
        <v>4663.5</v>
      </c>
      <c r="D46">
        <v>4648.2287960000003</v>
      </c>
      <c r="E46" t="s">
        <v>40</v>
      </c>
      <c r="F46">
        <v>4375</v>
      </c>
      <c r="G46">
        <v>10</v>
      </c>
      <c r="H46" t="s">
        <v>41</v>
      </c>
      <c r="I46" s="3">
        <v>4.4000000000000004</v>
      </c>
      <c r="J46" s="3">
        <v>4.7</v>
      </c>
      <c r="K46" s="7">
        <v>19.636345339999998</v>
      </c>
      <c r="L46" s="3">
        <v>0.64329366399999999</v>
      </c>
      <c r="M46" s="3">
        <v>4.5593718379999997</v>
      </c>
      <c r="N46" s="3">
        <v>-5.7536205E-2</v>
      </c>
      <c r="O46" s="3">
        <v>1.0697103889999999</v>
      </c>
      <c r="P46" s="3">
        <v>3.84884E-4</v>
      </c>
      <c r="Q46" s="3">
        <v>-0.640389392</v>
      </c>
      <c r="R46">
        <v>0</v>
      </c>
      <c r="S46" t="b">
        <v>1</v>
      </c>
      <c r="T46" s="1">
        <v>45322.666666666664</v>
      </c>
      <c r="U46" s="1">
        <v>45338.666666666664</v>
      </c>
      <c r="V46" s="5">
        <f t="shared" si="0"/>
        <v>4.3835616438356165E-2</v>
      </c>
      <c r="W46">
        <v>3.7900000000000003E-2</v>
      </c>
      <c r="X46" s="4">
        <v>0.2</v>
      </c>
      <c r="Y46" s="5">
        <f t="shared" si="1"/>
        <v>6.3859719375203336E-2</v>
      </c>
      <c r="Z46">
        <f t="shared" si="2"/>
        <v>5.7900000000000007E-2</v>
      </c>
      <c r="AA46" s="3">
        <f t="shared" si="3"/>
        <v>4.3835616438356165E-2</v>
      </c>
      <c r="AB46" s="3">
        <f t="shared" si="4"/>
        <v>4.1873913807217097E-2</v>
      </c>
      <c r="AC46" s="3">
        <f t="shared" si="5"/>
        <v>1.5856602722323103</v>
      </c>
      <c r="AD46" s="3">
        <f t="shared" si="6"/>
        <v>0.94359180210586557</v>
      </c>
      <c r="AE46" s="3">
        <f t="shared" si="7"/>
        <v>5.6408197894134454E-2</v>
      </c>
      <c r="AF46">
        <f t="shared" si="8"/>
        <v>1.7899999999999999E-2</v>
      </c>
      <c r="AG46" s="3">
        <f t="shared" si="9"/>
        <v>1.543786358425093</v>
      </c>
      <c r="AH46" s="3">
        <f t="shared" si="10"/>
        <v>0.9386799514208819</v>
      </c>
      <c r="AI46" s="3">
        <f t="shared" si="11"/>
        <v>6.1320048579118054E-2</v>
      </c>
      <c r="AJ46" s="18" t="str">
        <f t="shared" si="12"/>
        <v>Put</v>
      </c>
      <c r="AK46" s="18">
        <f t="shared" si="13"/>
        <v>4.7702473361885041</v>
      </c>
      <c r="AL46" s="3">
        <f t="shared" si="14"/>
        <v>4.7702473361885041</v>
      </c>
      <c r="AM46" s="3">
        <f t="shared" si="15"/>
        <v>1.5856602722323103</v>
      </c>
      <c r="AN46" s="3">
        <f t="shared" si="16"/>
        <v>1.543786358425093</v>
      </c>
    </row>
    <row r="47" spans="1:40" x14ac:dyDescent="0.25">
      <c r="A47" s="1">
        <v>45322.666666666664</v>
      </c>
      <c r="B47">
        <v>20240216</v>
      </c>
      <c r="C47">
        <v>4663.5</v>
      </c>
      <c r="D47">
        <v>4648.2287960000003</v>
      </c>
      <c r="E47" t="s">
        <v>42</v>
      </c>
      <c r="F47">
        <v>4400</v>
      </c>
      <c r="G47">
        <v>10</v>
      </c>
      <c r="H47" t="s">
        <v>41</v>
      </c>
      <c r="I47" s="3">
        <v>253.2</v>
      </c>
      <c r="J47" s="3">
        <v>255.2</v>
      </c>
      <c r="K47" s="7">
        <v>18.90794558</v>
      </c>
      <c r="L47" s="3">
        <v>0.64329366399999999</v>
      </c>
      <c r="M47" s="3">
        <v>254.14909800000001</v>
      </c>
      <c r="N47" s="3">
        <v>0.92623614600000004</v>
      </c>
      <c r="O47" s="3">
        <v>1.2313655590000001</v>
      </c>
      <c r="P47" s="3">
        <v>4.8493199999999998E-4</v>
      </c>
      <c r="Q47" s="3">
        <v>-0.74810522800000001</v>
      </c>
      <c r="R47">
        <v>0</v>
      </c>
      <c r="S47" t="b">
        <v>1</v>
      </c>
      <c r="T47" s="1">
        <v>45322.666666666664</v>
      </c>
      <c r="U47" s="1">
        <v>45338.666666666664</v>
      </c>
      <c r="V47" s="5">
        <f t="shared" si="0"/>
        <v>4.3835616438356165E-2</v>
      </c>
      <c r="W47">
        <v>3.7900000000000003E-2</v>
      </c>
      <c r="X47" s="4">
        <v>0.2</v>
      </c>
      <c r="Y47" s="5">
        <f t="shared" si="1"/>
        <v>5.8161698260565602E-2</v>
      </c>
      <c r="Z47">
        <f t="shared" si="2"/>
        <v>5.7900000000000007E-2</v>
      </c>
      <c r="AA47" s="3">
        <f t="shared" si="3"/>
        <v>4.3835616438356165E-2</v>
      </c>
      <c r="AB47" s="3">
        <f t="shared" si="4"/>
        <v>4.1873913807217097E-2</v>
      </c>
      <c r="AC47" s="3">
        <f t="shared" si="5"/>
        <v>1.4495845965533949</v>
      </c>
      <c r="AD47" s="3">
        <f t="shared" si="6"/>
        <v>0.92641280300704909</v>
      </c>
      <c r="AE47" s="3">
        <f t="shared" si="7"/>
        <v>7.3587196992950923E-2</v>
      </c>
      <c r="AF47">
        <f t="shared" si="8"/>
        <v>1.7899999999999999E-2</v>
      </c>
      <c r="AG47" s="3">
        <f t="shared" si="9"/>
        <v>1.4077106827461778</v>
      </c>
      <c r="AH47" s="3">
        <f t="shared" si="10"/>
        <v>0.9203916213729626</v>
      </c>
      <c r="AI47" s="3">
        <f t="shared" si="11"/>
        <v>7.9608378627037443E-2</v>
      </c>
      <c r="AJ47" s="18">
        <f t="shared" si="12"/>
        <v>277.32547492329286</v>
      </c>
      <c r="AK47" s="18" t="str">
        <f t="shared" si="13"/>
        <v>Call</v>
      </c>
      <c r="AL47" s="3">
        <f t="shared" si="14"/>
        <v>277.32547492329286</v>
      </c>
      <c r="AM47" s="3">
        <f t="shared" si="15"/>
        <v>1.4495845965533949</v>
      </c>
      <c r="AN47" s="3">
        <f t="shared" si="16"/>
        <v>1.4077106827461778</v>
      </c>
    </row>
    <row r="48" spans="1:40" x14ac:dyDescent="0.25">
      <c r="A48" s="1">
        <v>45322.666666666664</v>
      </c>
      <c r="B48">
        <v>20240216</v>
      </c>
      <c r="C48">
        <v>4663.5</v>
      </c>
      <c r="D48">
        <v>4648.2287960000003</v>
      </c>
      <c r="E48" t="s">
        <v>40</v>
      </c>
      <c r="F48">
        <v>4400</v>
      </c>
      <c r="G48">
        <v>10</v>
      </c>
      <c r="H48" t="s">
        <v>41</v>
      </c>
      <c r="I48" s="3">
        <v>5.3</v>
      </c>
      <c r="J48" s="3">
        <v>5.5</v>
      </c>
      <c r="K48" s="7">
        <v>18.90794558</v>
      </c>
      <c r="L48" s="3">
        <v>0.64329366399999999</v>
      </c>
      <c r="M48" s="3">
        <v>5.4261362159999997</v>
      </c>
      <c r="N48" s="3">
        <v>-6.8937608999999997E-2</v>
      </c>
      <c r="O48" s="3">
        <v>1.2313655590000001</v>
      </c>
      <c r="P48" s="3">
        <v>4.8493199999999998E-4</v>
      </c>
      <c r="Q48" s="3">
        <v>-0.74810522800000001</v>
      </c>
      <c r="R48">
        <v>0</v>
      </c>
      <c r="S48" t="b">
        <v>1</v>
      </c>
      <c r="T48" s="1">
        <v>45322.666666666664</v>
      </c>
      <c r="U48" s="1">
        <v>45338.666666666664</v>
      </c>
      <c r="V48" s="5">
        <f t="shared" si="0"/>
        <v>4.3835616438356165E-2</v>
      </c>
      <c r="W48">
        <v>3.7900000000000003E-2</v>
      </c>
      <c r="X48" s="4">
        <v>0.2</v>
      </c>
      <c r="Y48" s="5">
        <f t="shared" si="1"/>
        <v>5.8161698260565602E-2</v>
      </c>
      <c r="Z48">
        <f t="shared" si="2"/>
        <v>5.7900000000000007E-2</v>
      </c>
      <c r="AA48" s="3">
        <f t="shared" si="3"/>
        <v>4.3835616438356165E-2</v>
      </c>
      <c r="AB48" s="3">
        <f t="shared" si="4"/>
        <v>4.1873913807217097E-2</v>
      </c>
      <c r="AC48" s="3">
        <f t="shared" si="5"/>
        <v>1.4495845965533949</v>
      </c>
      <c r="AD48" s="3">
        <f t="shared" si="6"/>
        <v>0.92641280300704909</v>
      </c>
      <c r="AE48" s="3">
        <f t="shared" si="7"/>
        <v>7.3587196992950923E-2</v>
      </c>
      <c r="AF48">
        <f t="shared" si="8"/>
        <v>1.7899999999999999E-2</v>
      </c>
      <c r="AG48" s="3">
        <f t="shared" si="9"/>
        <v>1.4077106827461778</v>
      </c>
      <c r="AH48" s="3">
        <f t="shared" si="10"/>
        <v>0.9203916213729626</v>
      </c>
      <c r="AI48" s="3">
        <f t="shared" si="11"/>
        <v>7.9608378627037443E-2</v>
      </c>
      <c r="AJ48" s="18" t="str">
        <f t="shared" si="12"/>
        <v>Put</v>
      </c>
      <c r="AK48" s="18">
        <f t="shared" si="13"/>
        <v>6.5215164942421211</v>
      </c>
      <c r="AL48" s="3">
        <f t="shared" si="14"/>
        <v>6.5215164942421211</v>
      </c>
      <c r="AM48" s="3">
        <f t="shared" si="15"/>
        <v>1.4495845965533949</v>
      </c>
      <c r="AN48" s="3">
        <f t="shared" si="16"/>
        <v>1.4077106827461778</v>
      </c>
    </row>
    <row r="49" spans="1:40" x14ac:dyDescent="0.25">
      <c r="A49" s="1">
        <v>45322.666666666664</v>
      </c>
      <c r="B49">
        <v>20240216</v>
      </c>
      <c r="C49">
        <v>4663.5</v>
      </c>
      <c r="D49">
        <v>4648.2287960000003</v>
      </c>
      <c r="E49" t="s">
        <v>42</v>
      </c>
      <c r="F49">
        <v>4425</v>
      </c>
      <c r="G49">
        <v>10</v>
      </c>
      <c r="H49" t="s">
        <v>41</v>
      </c>
      <c r="I49" s="3">
        <v>229.3</v>
      </c>
      <c r="J49" s="3">
        <v>231.3</v>
      </c>
      <c r="K49" s="7">
        <v>18.20182698</v>
      </c>
      <c r="L49" s="3">
        <v>0.64329366399999999</v>
      </c>
      <c r="M49" s="3">
        <v>230.29535970000001</v>
      </c>
      <c r="N49" s="3">
        <v>0.91193892499999996</v>
      </c>
      <c r="O49" s="3">
        <v>1.421287959</v>
      </c>
      <c r="P49" s="3">
        <v>6.1180299999999996E-4</v>
      </c>
      <c r="Q49" s="3">
        <v>-0.87465125700000002</v>
      </c>
      <c r="R49">
        <v>0</v>
      </c>
      <c r="S49" t="b">
        <v>1</v>
      </c>
      <c r="T49" s="1">
        <v>45322.666666666664</v>
      </c>
      <c r="U49" s="1">
        <v>45338.666666666664</v>
      </c>
      <c r="V49" s="5">
        <f t="shared" si="0"/>
        <v>4.3835616438356165E-2</v>
      </c>
      <c r="W49">
        <v>3.7900000000000003E-2</v>
      </c>
      <c r="X49" s="4">
        <v>0.2</v>
      </c>
      <c r="Y49" s="5">
        <f t="shared" si="1"/>
        <v>5.2495960724888234E-2</v>
      </c>
      <c r="Z49">
        <f t="shared" si="2"/>
        <v>5.7900000000000007E-2</v>
      </c>
      <c r="AA49" s="3">
        <f t="shared" si="3"/>
        <v>4.3835616438356165E-2</v>
      </c>
      <c r="AB49" s="3">
        <f t="shared" si="4"/>
        <v>4.1873913807217097E-2</v>
      </c>
      <c r="AC49" s="3">
        <f t="shared" si="5"/>
        <v>1.3142798920119994</v>
      </c>
      <c r="AD49" s="3">
        <f t="shared" si="6"/>
        <v>0.90562398424842205</v>
      </c>
      <c r="AE49" s="3">
        <f t="shared" si="7"/>
        <v>9.4376015751577946E-2</v>
      </c>
      <c r="AF49">
        <f t="shared" si="8"/>
        <v>1.7899999999999999E-2</v>
      </c>
      <c r="AG49" s="3">
        <f t="shared" si="9"/>
        <v>1.2724059782047823</v>
      </c>
      <c r="AH49" s="3">
        <f t="shared" si="10"/>
        <v>0.89838554445202878</v>
      </c>
      <c r="AI49" s="3">
        <f t="shared" si="11"/>
        <v>0.10161445554797117</v>
      </c>
      <c r="AJ49" s="18">
        <f t="shared" si="12"/>
        <v>254.62046980012428</v>
      </c>
      <c r="AK49" s="18" t="str">
        <f t="shared" si="13"/>
        <v>Call</v>
      </c>
      <c r="AL49" s="3">
        <f t="shared" si="14"/>
        <v>254.62046980012428</v>
      </c>
      <c r="AM49" s="3">
        <f t="shared" si="15"/>
        <v>1.3142798920119994</v>
      </c>
      <c r="AN49" s="3">
        <f t="shared" si="16"/>
        <v>1.2724059782047823</v>
      </c>
    </row>
    <row r="50" spans="1:40" x14ac:dyDescent="0.25">
      <c r="A50" s="1">
        <v>45322.666666666664</v>
      </c>
      <c r="B50">
        <v>20240216</v>
      </c>
      <c r="C50">
        <v>4663.5</v>
      </c>
      <c r="D50">
        <v>4648.2287960000003</v>
      </c>
      <c r="E50" t="s">
        <v>40</v>
      </c>
      <c r="F50">
        <v>4425</v>
      </c>
      <c r="G50">
        <v>10</v>
      </c>
      <c r="H50" t="s">
        <v>41</v>
      </c>
      <c r="I50" s="3">
        <v>6.4</v>
      </c>
      <c r="J50" s="3">
        <v>6.7</v>
      </c>
      <c r="K50" s="7">
        <v>18.20182698</v>
      </c>
      <c r="L50" s="3">
        <v>0.64329366399999999</v>
      </c>
      <c r="M50" s="3">
        <v>6.5284766210000003</v>
      </c>
      <c r="N50" s="3">
        <v>-8.3234829999999996E-2</v>
      </c>
      <c r="O50" s="3">
        <v>1.421287959</v>
      </c>
      <c r="P50" s="3">
        <v>6.1180299999999996E-4</v>
      </c>
      <c r="Q50" s="3">
        <v>-0.87465125700000002</v>
      </c>
      <c r="R50">
        <v>0</v>
      </c>
      <c r="S50" t="b">
        <v>1</v>
      </c>
      <c r="T50" s="1">
        <v>45322.666666666664</v>
      </c>
      <c r="U50" s="1">
        <v>45338.666666666664</v>
      </c>
      <c r="V50" s="5">
        <f t="shared" si="0"/>
        <v>4.3835616438356165E-2</v>
      </c>
      <c r="W50">
        <v>3.7900000000000003E-2</v>
      </c>
      <c r="X50" s="4">
        <v>0.2</v>
      </c>
      <c r="Y50" s="5">
        <f t="shared" si="1"/>
        <v>5.2495960724888234E-2</v>
      </c>
      <c r="Z50">
        <f t="shared" si="2"/>
        <v>5.7900000000000007E-2</v>
      </c>
      <c r="AA50" s="3">
        <f t="shared" si="3"/>
        <v>4.3835616438356165E-2</v>
      </c>
      <c r="AB50" s="3">
        <f t="shared" si="4"/>
        <v>4.1873913807217097E-2</v>
      </c>
      <c r="AC50" s="3">
        <f t="shared" si="5"/>
        <v>1.3142798920119994</v>
      </c>
      <c r="AD50" s="3">
        <f t="shared" si="6"/>
        <v>0.90562398424842205</v>
      </c>
      <c r="AE50" s="3">
        <f t="shared" si="7"/>
        <v>9.4376015751577946E-2</v>
      </c>
      <c r="AF50">
        <f t="shared" si="8"/>
        <v>1.7899999999999999E-2</v>
      </c>
      <c r="AG50" s="3">
        <f t="shared" si="9"/>
        <v>1.2724059782047823</v>
      </c>
      <c r="AH50" s="3">
        <f t="shared" si="10"/>
        <v>0.89838554445202878</v>
      </c>
      <c r="AI50" s="3">
        <f t="shared" si="11"/>
        <v>0.10161445554797117</v>
      </c>
      <c r="AJ50" s="18" t="str">
        <f t="shared" si="12"/>
        <v>Put</v>
      </c>
      <c r="AK50" s="18">
        <f t="shared" si="13"/>
        <v>8.7750116072716082</v>
      </c>
      <c r="AL50" s="3">
        <f t="shared" si="14"/>
        <v>8.7750116072716082</v>
      </c>
      <c r="AM50" s="3">
        <f t="shared" si="15"/>
        <v>1.3142798920119994</v>
      </c>
      <c r="AN50" s="3">
        <f t="shared" si="16"/>
        <v>1.2724059782047823</v>
      </c>
    </row>
    <row r="51" spans="1:40" x14ac:dyDescent="0.25">
      <c r="A51" s="1">
        <v>45322.666666666664</v>
      </c>
      <c r="B51">
        <v>20240216</v>
      </c>
      <c r="C51">
        <v>4663.5</v>
      </c>
      <c r="D51">
        <v>4648.2287960000003</v>
      </c>
      <c r="E51" t="s">
        <v>42</v>
      </c>
      <c r="F51">
        <v>4450</v>
      </c>
      <c r="G51">
        <v>10</v>
      </c>
      <c r="H51" t="s">
        <v>41</v>
      </c>
      <c r="I51" s="3">
        <v>205.9</v>
      </c>
      <c r="J51" s="3">
        <v>207.8</v>
      </c>
      <c r="K51" s="7">
        <v>17.51763652</v>
      </c>
      <c r="L51" s="3">
        <v>0.64329366399999999</v>
      </c>
      <c r="M51" s="3">
        <v>206.74750929999999</v>
      </c>
      <c r="N51" s="3">
        <v>0.89399724300000005</v>
      </c>
      <c r="O51" s="3">
        <v>1.642175867</v>
      </c>
      <c r="P51" s="3">
        <v>7.7161899999999997E-4</v>
      </c>
      <c r="Q51" s="3">
        <v>-1.0217564139999999</v>
      </c>
      <c r="R51">
        <v>0</v>
      </c>
      <c r="S51" t="b">
        <v>1</v>
      </c>
      <c r="T51" s="1">
        <v>45322.666666666664</v>
      </c>
      <c r="U51" s="1">
        <v>45338.666666666664</v>
      </c>
      <c r="V51" s="5">
        <f t="shared" si="0"/>
        <v>4.3835616438356165E-2</v>
      </c>
      <c r="W51">
        <v>3.7900000000000003E-2</v>
      </c>
      <c r="X51" s="4">
        <v>0.2</v>
      </c>
      <c r="Y51" s="5">
        <f t="shared" si="1"/>
        <v>4.6862143006632197E-2</v>
      </c>
      <c r="Z51">
        <f t="shared" si="2"/>
        <v>5.7900000000000007E-2</v>
      </c>
      <c r="AA51" s="3">
        <f t="shared" si="3"/>
        <v>4.3835616438356165E-2</v>
      </c>
      <c r="AB51" s="3">
        <f t="shared" si="4"/>
        <v>4.1873913807217097E-2</v>
      </c>
      <c r="AC51" s="3">
        <f t="shared" si="5"/>
        <v>1.1797374715400675</v>
      </c>
      <c r="AD51" s="3">
        <f t="shared" si="6"/>
        <v>0.88094767722962275</v>
      </c>
      <c r="AE51" s="3">
        <f t="shared" si="7"/>
        <v>0.11905232277037719</v>
      </c>
      <c r="AF51">
        <f t="shared" si="8"/>
        <v>1.7899999999999999E-2</v>
      </c>
      <c r="AG51" s="3">
        <f t="shared" si="9"/>
        <v>1.1378635577328504</v>
      </c>
      <c r="AH51" s="3">
        <f t="shared" si="10"/>
        <v>0.87241126981455919</v>
      </c>
      <c r="AI51" s="3">
        <f t="shared" si="11"/>
        <v>0.12758873018544076</v>
      </c>
      <c r="AJ51" s="18">
        <f t="shared" si="12"/>
        <v>232.51380745658935</v>
      </c>
      <c r="AK51" s="18" t="str">
        <f t="shared" si="13"/>
        <v>Call</v>
      </c>
      <c r="AL51" s="3">
        <f t="shared" si="14"/>
        <v>232.51380745658935</v>
      </c>
      <c r="AM51" s="3">
        <f t="shared" si="15"/>
        <v>1.1797374715400675</v>
      </c>
      <c r="AN51" s="3">
        <f t="shared" si="16"/>
        <v>1.1378635577328504</v>
      </c>
    </row>
    <row r="52" spans="1:40" x14ac:dyDescent="0.25">
      <c r="A52" s="1">
        <v>45322.666666666664</v>
      </c>
      <c r="B52">
        <v>20240216</v>
      </c>
      <c r="C52">
        <v>4663.5</v>
      </c>
      <c r="D52">
        <v>4648.2287960000003</v>
      </c>
      <c r="E52" t="s">
        <v>40</v>
      </c>
      <c r="F52">
        <v>4450</v>
      </c>
      <c r="G52">
        <v>10</v>
      </c>
      <c r="H52" t="s">
        <v>41</v>
      </c>
      <c r="I52" s="3">
        <v>7.8</v>
      </c>
      <c r="J52" s="3">
        <v>8.1</v>
      </c>
      <c r="K52" s="7">
        <v>17.51763652</v>
      </c>
      <c r="L52" s="3">
        <v>0.64329366399999999</v>
      </c>
      <c r="M52" s="3">
        <v>7.9367048880000004</v>
      </c>
      <c r="N52" s="3">
        <v>-0.101176511</v>
      </c>
      <c r="O52" s="3">
        <v>1.642175867</v>
      </c>
      <c r="P52" s="3">
        <v>7.7161899999999997E-4</v>
      </c>
      <c r="Q52" s="3">
        <v>-1.0217564139999999</v>
      </c>
      <c r="R52">
        <v>0</v>
      </c>
      <c r="S52" t="b">
        <v>1</v>
      </c>
      <c r="T52" s="1">
        <v>45322.666666666664</v>
      </c>
      <c r="U52" s="1">
        <v>45338.666666666664</v>
      </c>
      <c r="V52" s="5">
        <f t="shared" si="0"/>
        <v>4.3835616438356165E-2</v>
      </c>
      <c r="W52">
        <v>3.7900000000000003E-2</v>
      </c>
      <c r="X52" s="4">
        <v>0.2</v>
      </c>
      <c r="Y52" s="5">
        <f t="shared" si="1"/>
        <v>4.6862143006632197E-2</v>
      </c>
      <c r="Z52">
        <f t="shared" si="2"/>
        <v>5.7900000000000007E-2</v>
      </c>
      <c r="AA52" s="3">
        <f t="shared" si="3"/>
        <v>4.3835616438356165E-2</v>
      </c>
      <c r="AB52" s="3">
        <f t="shared" si="4"/>
        <v>4.1873913807217097E-2</v>
      </c>
      <c r="AC52" s="3">
        <f t="shared" si="5"/>
        <v>1.1797374715400675</v>
      </c>
      <c r="AD52" s="3">
        <f t="shared" si="6"/>
        <v>0.88094767722962275</v>
      </c>
      <c r="AE52" s="3">
        <f t="shared" si="7"/>
        <v>0.11905232277037719</v>
      </c>
      <c r="AF52">
        <f t="shared" si="8"/>
        <v>1.7899999999999999E-2</v>
      </c>
      <c r="AG52" s="3">
        <f t="shared" si="9"/>
        <v>1.1378635577328504</v>
      </c>
      <c r="AH52" s="3">
        <f t="shared" si="10"/>
        <v>0.87241126981455919</v>
      </c>
      <c r="AI52" s="3">
        <f t="shared" si="11"/>
        <v>0.12758873018544076</v>
      </c>
      <c r="AJ52" s="18" t="str">
        <f t="shared" si="12"/>
        <v>Put</v>
      </c>
      <c r="AK52" s="18">
        <f t="shared" si="13"/>
        <v>11.626849499934565</v>
      </c>
      <c r="AL52" s="3">
        <f t="shared" si="14"/>
        <v>11.626849499934565</v>
      </c>
      <c r="AM52" s="3">
        <f t="shared" si="15"/>
        <v>1.1797374715400675</v>
      </c>
      <c r="AN52" s="3">
        <f t="shared" si="16"/>
        <v>1.1378635577328504</v>
      </c>
    </row>
    <row r="53" spans="1:40" x14ac:dyDescent="0.25">
      <c r="A53" s="1">
        <v>45322.666666666664</v>
      </c>
      <c r="B53">
        <v>20240216</v>
      </c>
      <c r="C53">
        <v>4663.5</v>
      </c>
      <c r="D53">
        <v>4648.2287960000003</v>
      </c>
      <c r="E53" t="s">
        <v>42</v>
      </c>
      <c r="F53">
        <v>4475</v>
      </c>
      <c r="G53">
        <v>10</v>
      </c>
      <c r="H53" t="s">
        <v>41</v>
      </c>
      <c r="I53" s="3">
        <v>182.7</v>
      </c>
      <c r="J53" s="3">
        <v>184.7</v>
      </c>
      <c r="K53" s="7">
        <v>16.8550282</v>
      </c>
      <c r="L53" s="3">
        <v>0.64329366399999999</v>
      </c>
      <c r="M53" s="3">
        <v>183.5968507</v>
      </c>
      <c r="N53" s="3">
        <v>0.87150695499999997</v>
      </c>
      <c r="O53" s="3">
        <v>1.89531965</v>
      </c>
      <c r="P53" s="3">
        <v>9.7082899999999998E-4</v>
      </c>
      <c r="Q53" s="3">
        <v>-1.190131649</v>
      </c>
      <c r="R53">
        <v>0</v>
      </c>
      <c r="S53" t="b">
        <v>1</v>
      </c>
      <c r="T53" s="1">
        <v>45322.666666666664</v>
      </c>
      <c r="U53" s="1">
        <v>45338.666666666664</v>
      </c>
      <c r="V53" s="5">
        <f t="shared" si="0"/>
        <v>4.3835616438356165E-2</v>
      </c>
      <c r="W53">
        <v>3.7900000000000003E-2</v>
      </c>
      <c r="X53" s="4">
        <v>0.2</v>
      </c>
      <c r="Y53" s="5">
        <f t="shared" si="1"/>
        <v>4.1259887457962517E-2</v>
      </c>
      <c r="Z53">
        <f t="shared" si="2"/>
        <v>5.7900000000000007E-2</v>
      </c>
      <c r="AA53" s="3">
        <f t="shared" si="3"/>
        <v>4.3835616438356165E-2</v>
      </c>
      <c r="AB53" s="3">
        <f t="shared" si="4"/>
        <v>4.1873913807217097E-2</v>
      </c>
      <c r="AC53" s="3">
        <f t="shared" si="5"/>
        <v>1.0459487940722327</v>
      </c>
      <c r="AD53" s="3">
        <f t="shared" si="6"/>
        <v>0.85220766271109682</v>
      </c>
      <c r="AE53" s="3">
        <f t="shared" si="7"/>
        <v>0.14779233728890312</v>
      </c>
      <c r="AF53">
        <f t="shared" si="8"/>
        <v>1.7899999999999999E-2</v>
      </c>
      <c r="AG53" s="3">
        <f t="shared" si="9"/>
        <v>1.0040748802650157</v>
      </c>
      <c r="AH53" s="3">
        <f t="shared" si="10"/>
        <v>0.84232873888465709</v>
      </c>
      <c r="AI53" s="3">
        <f t="shared" si="11"/>
        <v>0.15767126111534294</v>
      </c>
      <c r="AJ53" s="18">
        <f t="shared" si="12"/>
        <v>211.10653196788871</v>
      </c>
      <c r="AK53" s="18" t="str">
        <f t="shared" si="13"/>
        <v>Call</v>
      </c>
      <c r="AL53" s="3">
        <f t="shared" si="14"/>
        <v>211.10653196788871</v>
      </c>
      <c r="AM53" s="3">
        <f t="shared" si="15"/>
        <v>1.0459487940722327</v>
      </c>
      <c r="AN53" s="3">
        <f t="shared" si="16"/>
        <v>1.0040748802650157</v>
      </c>
    </row>
    <row r="54" spans="1:40" x14ac:dyDescent="0.25">
      <c r="A54" s="1">
        <v>45322.666666666664</v>
      </c>
      <c r="B54">
        <v>20240216</v>
      </c>
      <c r="C54">
        <v>4663.5</v>
      </c>
      <c r="D54">
        <v>4648.2287960000003</v>
      </c>
      <c r="E54" t="s">
        <v>40</v>
      </c>
      <c r="F54">
        <v>4475</v>
      </c>
      <c r="G54">
        <v>10</v>
      </c>
      <c r="H54" t="s">
        <v>41</v>
      </c>
      <c r="I54" s="3">
        <v>9.6</v>
      </c>
      <c r="J54" s="3">
        <v>9.9</v>
      </c>
      <c r="K54" s="7">
        <v>16.8550282</v>
      </c>
      <c r="L54" s="3">
        <v>0.64329366399999999</v>
      </c>
      <c r="M54" s="3">
        <v>9.742124939</v>
      </c>
      <c r="N54" s="3">
        <v>-0.12366679999999999</v>
      </c>
      <c r="O54" s="3">
        <v>1.89531965</v>
      </c>
      <c r="P54" s="3">
        <v>9.7082899999999998E-4</v>
      </c>
      <c r="Q54" s="3">
        <v>-1.190131649</v>
      </c>
      <c r="R54">
        <v>0</v>
      </c>
      <c r="S54" t="b">
        <v>1</v>
      </c>
      <c r="T54" s="1">
        <v>45322.666666666664</v>
      </c>
      <c r="U54" s="1">
        <v>45338.666666666664</v>
      </c>
      <c r="V54" s="5">
        <f t="shared" si="0"/>
        <v>4.3835616438356165E-2</v>
      </c>
      <c r="W54">
        <v>3.7900000000000003E-2</v>
      </c>
      <c r="X54" s="4">
        <v>0.2</v>
      </c>
      <c r="Y54" s="5">
        <f t="shared" si="1"/>
        <v>4.1259887457962517E-2</v>
      </c>
      <c r="Z54">
        <f t="shared" si="2"/>
        <v>5.7900000000000007E-2</v>
      </c>
      <c r="AA54" s="3">
        <f t="shared" si="3"/>
        <v>4.3835616438356165E-2</v>
      </c>
      <c r="AB54" s="3">
        <f t="shared" si="4"/>
        <v>4.1873913807217097E-2</v>
      </c>
      <c r="AC54" s="3">
        <f t="shared" si="5"/>
        <v>1.0459487940722327</v>
      </c>
      <c r="AD54" s="3">
        <f t="shared" si="6"/>
        <v>0.85220766271109682</v>
      </c>
      <c r="AE54" s="3">
        <f t="shared" si="7"/>
        <v>0.14779233728890312</v>
      </c>
      <c r="AF54">
        <f t="shared" si="8"/>
        <v>1.7899999999999999E-2</v>
      </c>
      <c r="AG54" s="3">
        <f t="shared" si="9"/>
        <v>1.0040748802650157</v>
      </c>
      <c r="AH54" s="3">
        <f t="shared" si="10"/>
        <v>0.84232873888465709</v>
      </c>
      <c r="AI54" s="3">
        <f t="shared" si="11"/>
        <v>0.15767126111534294</v>
      </c>
      <c r="AJ54" s="18" t="str">
        <f t="shared" si="12"/>
        <v>Put</v>
      </c>
      <c r="AK54" s="18">
        <f t="shared" si="13"/>
        <v>15.178074247433756</v>
      </c>
      <c r="AL54" s="3">
        <f t="shared" si="14"/>
        <v>15.178074247433756</v>
      </c>
      <c r="AM54" s="3">
        <f t="shared" si="15"/>
        <v>1.0459487940722327</v>
      </c>
      <c r="AN54" s="3">
        <f t="shared" si="16"/>
        <v>1.0040748802650157</v>
      </c>
    </row>
    <row r="55" spans="1:40" x14ac:dyDescent="0.25">
      <c r="A55" s="1">
        <v>45322.666666666664</v>
      </c>
      <c r="B55">
        <v>20240216</v>
      </c>
      <c r="C55">
        <v>4663.5</v>
      </c>
      <c r="D55">
        <v>4648.2287960000003</v>
      </c>
      <c r="E55" t="s">
        <v>42</v>
      </c>
      <c r="F55">
        <v>4500</v>
      </c>
      <c r="G55">
        <v>10</v>
      </c>
      <c r="H55" t="s">
        <v>41</v>
      </c>
      <c r="I55" s="3">
        <v>160.19999999999999</v>
      </c>
      <c r="J55" s="3">
        <v>162</v>
      </c>
      <c r="K55" s="7">
        <v>16.213662970000001</v>
      </c>
      <c r="L55" s="3">
        <v>0.64329366399999999</v>
      </c>
      <c r="M55" s="3">
        <v>160.96079080000001</v>
      </c>
      <c r="N55" s="3">
        <v>0.84341110200000002</v>
      </c>
      <c r="O55" s="3">
        <v>2.1793897900000001</v>
      </c>
      <c r="P55" s="3">
        <v>1.2153310000000001E-3</v>
      </c>
      <c r="Q55" s="3">
        <v>-1.3786376979999999</v>
      </c>
      <c r="R55">
        <v>0</v>
      </c>
      <c r="S55" t="b">
        <v>1</v>
      </c>
      <c r="T55" s="1">
        <v>45322.666666666664</v>
      </c>
      <c r="U55" s="1">
        <v>45338.666666666664</v>
      </c>
      <c r="V55" s="5">
        <f t="shared" si="0"/>
        <v>4.3835616438356165E-2</v>
      </c>
      <c r="W55">
        <v>3.7900000000000003E-2</v>
      </c>
      <c r="X55" s="4">
        <v>0.2</v>
      </c>
      <c r="Y55" s="5">
        <f t="shared" si="1"/>
        <v>3.5688842408507067E-2</v>
      </c>
      <c r="Z55">
        <f t="shared" si="2"/>
        <v>5.7900000000000007E-2</v>
      </c>
      <c r="AA55" s="3">
        <f t="shared" si="3"/>
        <v>4.3835616438356165E-2</v>
      </c>
      <c r="AB55" s="3">
        <f t="shared" si="4"/>
        <v>4.1873913807217097E-2</v>
      </c>
      <c r="AC55" s="3">
        <f t="shared" si="5"/>
        <v>0.91290546129221295</v>
      </c>
      <c r="AD55" s="3">
        <f t="shared" si="6"/>
        <v>0.81935386750461681</v>
      </c>
      <c r="AE55" s="3">
        <f t="shared" si="7"/>
        <v>0.18064613249538317</v>
      </c>
      <c r="AF55">
        <f t="shared" si="8"/>
        <v>1.7899999999999999E-2</v>
      </c>
      <c r="AG55" s="3">
        <f t="shared" si="9"/>
        <v>0.87103154748499589</v>
      </c>
      <c r="AH55" s="3">
        <f t="shared" si="10"/>
        <v>0.80813153601045684</v>
      </c>
      <c r="AI55" s="3">
        <f t="shared" si="11"/>
        <v>0.19186846398954316</v>
      </c>
      <c r="AJ55" s="18">
        <f t="shared" si="12"/>
        <v>190.50155727641004</v>
      </c>
      <c r="AK55" s="18" t="str">
        <f t="shared" si="13"/>
        <v>Call</v>
      </c>
      <c r="AL55" s="3">
        <f t="shared" si="14"/>
        <v>190.50155727641004</v>
      </c>
      <c r="AM55" s="3">
        <f t="shared" si="15"/>
        <v>0.91290546129221295</v>
      </c>
      <c r="AN55" s="3">
        <f t="shared" si="16"/>
        <v>0.87103154748499589</v>
      </c>
    </row>
    <row r="56" spans="1:40" x14ac:dyDescent="0.25">
      <c r="A56" s="1">
        <v>45322.666666666664</v>
      </c>
      <c r="B56">
        <v>20240216</v>
      </c>
      <c r="C56">
        <v>4663.5</v>
      </c>
      <c r="D56">
        <v>4648.2287960000003</v>
      </c>
      <c r="E56" t="s">
        <v>40</v>
      </c>
      <c r="F56">
        <v>4500</v>
      </c>
      <c r="G56">
        <v>10</v>
      </c>
      <c r="H56" t="s">
        <v>41</v>
      </c>
      <c r="I56" s="3">
        <v>11.9</v>
      </c>
      <c r="J56" s="3">
        <v>12.3</v>
      </c>
      <c r="K56" s="7">
        <v>16.213662970000001</v>
      </c>
      <c r="L56" s="3">
        <v>0.64329366399999999</v>
      </c>
      <c r="M56" s="3">
        <v>12.06214363</v>
      </c>
      <c r="N56" s="3">
        <v>-0.151762653</v>
      </c>
      <c r="O56" s="3">
        <v>2.1793897900000001</v>
      </c>
      <c r="P56" s="3">
        <v>1.2153310000000001E-3</v>
      </c>
      <c r="Q56" s="3">
        <v>-1.3786376979999999</v>
      </c>
      <c r="R56">
        <v>0</v>
      </c>
      <c r="S56" t="b">
        <v>1</v>
      </c>
      <c r="T56" s="1">
        <v>45322.666666666664</v>
      </c>
      <c r="U56" s="1">
        <v>45338.666666666664</v>
      </c>
      <c r="V56" s="5">
        <f t="shared" si="0"/>
        <v>4.3835616438356165E-2</v>
      </c>
      <c r="W56">
        <v>3.7900000000000003E-2</v>
      </c>
      <c r="X56" s="4">
        <v>0.2</v>
      </c>
      <c r="Y56" s="5">
        <f t="shared" si="1"/>
        <v>3.5688842408507067E-2</v>
      </c>
      <c r="Z56">
        <f t="shared" si="2"/>
        <v>5.7900000000000007E-2</v>
      </c>
      <c r="AA56" s="3">
        <f t="shared" si="3"/>
        <v>4.3835616438356165E-2</v>
      </c>
      <c r="AB56" s="3">
        <f t="shared" si="4"/>
        <v>4.1873913807217097E-2</v>
      </c>
      <c r="AC56" s="3">
        <f t="shared" si="5"/>
        <v>0.91290546129221295</v>
      </c>
      <c r="AD56" s="3">
        <f t="shared" si="6"/>
        <v>0.81935386750461681</v>
      </c>
      <c r="AE56" s="3">
        <f t="shared" si="7"/>
        <v>0.18064613249538317</v>
      </c>
      <c r="AF56">
        <f t="shared" si="8"/>
        <v>1.7899999999999999E-2</v>
      </c>
      <c r="AG56" s="3">
        <f t="shared" si="9"/>
        <v>0.87103154748499589</v>
      </c>
      <c r="AH56" s="3">
        <f t="shared" si="10"/>
        <v>0.80813153601045684</v>
      </c>
      <c r="AI56" s="3">
        <f t="shared" si="11"/>
        <v>0.19186846398954316</v>
      </c>
      <c r="AJ56" s="18" t="str">
        <f t="shared" si="12"/>
        <v>Put</v>
      </c>
      <c r="AK56" s="18">
        <f t="shared" si="13"/>
        <v>19.531599792153202</v>
      </c>
      <c r="AL56" s="3">
        <f t="shared" si="14"/>
        <v>19.531599792153202</v>
      </c>
      <c r="AM56" s="3">
        <f t="shared" si="15"/>
        <v>0.91290546129221295</v>
      </c>
      <c r="AN56" s="3">
        <f t="shared" si="16"/>
        <v>0.87103154748499589</v>
      </c>
    </row>
    <row r="57" spans="1:40" x14ac:dyDescent="0.25">
      <c r="A57" s="1">
        <v>45322.666666666664</v>
      </c>
      <c r="B57">
        <v>20240216</v>
      </c>
      <c r="C57">
        <v>4663.5</v>
      </c>
      <c r="D57">
        <v>4648.2287960000003</v>
      </c>
      <c r="E57" t="s">
        <v>42</v>
      </c>
      <c r="F57">
        <v>4525</v>
      </c>
      <c r="G57">
        <v>10</v>
      </c>
      <c r="H57" t="s">
        <v>41</v>
      </c>
      <c r="I57" s="3">
        <v>138.19999999999999</v>
      </c>
      <c r="J57" s="3">
        <v>140</v>
      </c>
      <c r="K57" s="7">
        <v>15.593208450000001</v>
      </c>
      <c r="L57" s="3">
        <v>0.64329366399999999</v>
      </c>
      <c r="M57" s="3">
        <v>138.98813490000001</v>
      </c>
      <c r="N57" s="3">
        <v>0.80853257300000003</v>
      </c>
      <c r="O57" s="3">
        <v>2.4887760120000002</v>
      </c>
      <c r="P57" s="3">
        <v>1.5120820000000001E-3</v>
      </c>
      <c r="Q57" s="3">
        <v>-1.5864986670000001</v>
      </c>
      <c r="R57">
        <v>0</v>
      </c>
      <c r="S57" t="b">
        <v>1</v>
      </c>
      <c r="T57" s="1">
        <v>45322.666666666664</v>
      </c>
      <c r="U57" s="1">
        <v>45338.666666666664</v>
      </c>
      <c r="V57" s="5">
        <f t="shared" si="0"/>
        <v>4.3835616438356165E-2</v>
      </c>
      <c r="W57">
        <v>3.7900000000000003E-2</v>
      </c>
      <c r="X57" s="4">
        <v>0.2</v>
      </c>
      <c r="Y57" s="5">
        <f t="shared" si="1"/>
        <v>3.0148662032891679E-2</v>
      </c>
      <c r="Z57">
        <f t="shared" si="2"/>
        <v>5.7900000000000007E-2</v>
      </c>
      <c r="AA57" s="3">
        <f t="shared" si="3"/>
        <v>4.3835616438356165E-2</v>
      </c>
      <c r="AB57" s="3">
        <f t="shared" si="4"/>
        <v>4.1873913807217097E-2</v>
      </c>
      <c r="AC57" s="3">
        <f t="shared" si="5"/>
        <v>0.7805992144693874</v>
      </c>
      <c r="AD57" s="3">
        <f t="shared" si="6"/>
        <v>0.78248087303009761</v>
      </c>
      <c r="AE57" s="3">
        <f t="shared" si="7"/>
        <v>0.21751912696990233</v>
      </c>
      <c r="AF57">
        <f t="shared" si="8"/>
        <v>1.7899999999999999E-2</v>
      </c>
      <c r="AG57" s="3">
        <f t="shared" si="9"/>
        <v>0.73872530066217024</v>
      </c>
      <c r="AH57" s="3">
        <f t="shared" si="10"/>
        <v>0.76996309036662924</v>
      </c>
      <c r="AI57" s="3">
        <f t="shared" si="11"/>
        <v>0.23003690963337076</v>
      </c>
      <c r="AJ57" s="18">
        <f t="shared" si="12"/>
        <v>170.80011230273522</v>
      </c>
      <c r="AK57" s="18" t="str">
        <f t="shared" si="13"/>
        <v>Call</v>
      </c>
      <c r="AL57" s="3">
        <f t="shared" si="14"/>
        <v>170.80011230273522</v>
      </c>
      <c r="AM57" s="3">
        <f t="shared" si="15"/>
        <v>0.7805992144693874</v>
      </c>
      <c r="AN57" s="3">
        <f t="shared" si="16"/>
        <v>0.73872530066217024</v>
      </c>
    </row>
    <row r="58" spans="1:40" x14ac:dyDescent="0.25">
      <c r="A58" s="1">
        <v>45322.666666666664</v>
      </c>
      <c r="B58">
        <v>20240216</v>
      </c>
      <c r="C58">
        <v>4663.5</v>
      </c>
      <c r="D58">
        <v>4648.2287960000003</v>
      </c>
      <c r="E58" t="s">
        <v>40</v>
      </c>
      <c r="F58">
        <v>4525</v>
      </c>
      <c r="G58">
        <v>10</v>
      </c>
      <c r="H58" t="s">
        <v>41</v>
      </c>
      <c r="I58" s="3">
        <v>14.9</v>
      </c>
      <c r="J58" s="3">
        <v>15.3</v>
      </c>
      <c r="K58" s="7">
        <v>15.593208450000001</v>
      </c>
      <c r="L58" s="3">
        <v>0.64329366399999999</v>
      </c>
      <c r="M58" s="3">
        <v>15.0455664</v>
      </c>
      <c r="N58" s="3">
        <v>-0.18664118199999999</v>
      </c>
      <c r="O58" s="3">
        <v>2.4887760120000002</v>
      </c>
      <c r="P58" s="3">
        <v>1.5120820000000001E-3</v>
      </c>
      <c r="Q58" s="3">
        <v>-1.5864986670000001</v>
      </c>
      <c r="R58">
        <v>0</v>
      </c>
      <c r="S58" t="b">
        <v>1</v>
      </c>
      <c r="T58" s="1">
        <v>45322.666666666664</v>
      </c>
      <c r="U58" s="1">
        <v>45338.666666666664</v>
      </c>
      <c r="V58" s="5">
        <f t="shared" si="0"/>
        <v>4.3835616438356165E-2</v>
      </c>
      <c r="W58">
        <v>3.7900000000000003E-2</v>
      </c>
      <c r="X58" s="4">
        <v>0.2</v>
      </c>
      <c r="Y58" s="5">
        <f t="shared" si="1"/>
        <v>3.0148662032891679E-2</v>
      </c>
      <c r="Z58">
        <f t="shared" si="2"/>
        <v>5.7900000000000007E-2</v>
      </c>
      <c r="AA58" s="3">
        <f t="shared" si="3"/>
        <v>4.3835616438356165E-2</v>
      </c>
      <c r="AB58" s="3">
        <f t="shared" si="4"/>
        <v>4.1873913807217097E-2</v>
      </c>
      <c r="AC58" s="3">
        <f t="shared" si="5"/>
        <v>0.7805992144693874</v>
      </c>
      <c r="AD58" s="3">
        <f t="shared" si="6"/>
        <v>0.78248087303009761</v>
      </c>
      <c r="AE58" s="3">
        <f t="shared" si="7"/>
        <v>0.21751912696990233</v>
      </c>
      <c r="AF58">
        <f t="shared" si="8"/>
        <v>1.7899999999999999E-2</v>
      </c>
      <c r="AG58" s="3">
        <f t="shared" si="9"/>
        <v>0.73872530066217024</v>
      </c>
      <c r="AH58" s="3">
        <f t="shared" si="10"/>
        <v>0.76996309036662924</v>
      </c>
      <c r="AI58" s="3">
        <f t="shared" si="11"/>
        <v>0.23003690963337076</v>
      </c>
      <c r="AJ58" s="18" t="str">
        <f t="shared" si="12"/>
        <v>Put</v>
      </c>
      <c r="AK58" s="18">
        <f t="shared" si="13"/>
        <v>24.78865505467661</v>
      </c>
      <c r="AL58" s="3">
        <f t="shared" si="14"/>
        <v>24.78865505467661</v>
      </c>
      <c r="AM58" s="3">
        <f t="shared" si="15"/>
        <v>0.7805992144693874</v>
      </c>
      <c r="AN58" s="3">
        <f t="shared" si="16"/>
        <v>0.73872530066217024</v>
      </c>
    </row>
    <row r="59" spans="1:40" x14ac:dyDescent="0.25">
      <c r="A59" s="1">
        <v>45322.666666666664</v>
      </c>
      <c r="B59">
        <v>20240216</v>
      </c>
      <c r="C59">
        <v>4663.5</v>
      </c>
      <c r="D59">
        <v>4648.2287960000003</v>
      </c>
      <c r="E59" t="s">
        <v>42</v>
      </c>
      <c r="F59">
        <v>4550</v>
      </c>
      <c r="G59">
        <v>10</v>
      </c>
      <c r="H59" t="s">
        <v>41</v>
      </c>
      <c r="I59" s="3">
        <v>117.2</v>
      </c>
      <c r="J59" s="3">
        <v>118.9</v>
      </c>
      <c r="K59" s="7">
        <v>15.004803430000001</v>
      </c>
      <c r="L59" s="3">
        <v>0.64329366399999999</v>
      </c>
      <c r="M59" s="3">
        <v>117.8958993</v>
      </c>
      <c r="N59" s="3">
        <v>0.76549293600000001</v>
      </c>
      <c r="O59" s="3">
        <v>2.8126691930000001</v>
      </c>
      <c r="P59" s="3">
        <v>1.862091E-3</v>
      </c>
      <c r="Q59" s="3">
        <v>-1.8090682950000001</v>
      </c>
      <c r="R59">
        <v>0</v>
      </c>
      <c r="S59" t="b">
        <v>1</v>
      </c>
      <c r="T59" s="1">
        <v>45322.666666666664</v>
      </c>
      <c r="U59" s="1">
        <v>45338.666666666664</v>
      </c>
      <c r="V59" s="5">
        <f t="shared" si="0"/>
        <v>4.3835616438356165E-2</v>
      </c>
      <c r="W59">
        <v>3.7900000000000003E-2</v>
      </c>
      <c r="X59" s="4">
        <v>0.2</v>
      </c>
      <c r="Y59" s="5">
        <f t="shared" si="1"/>
        <v>2.4639006221922093E-2</v>
      </c>
      <c r="Z59">
        <f t="shared" si="2"/>
        <v>5.7900000000000007E-2</v>
      </c>
      <c r="AA59" s="3">
        <f t="shared" si="3"/>
        <v>4.3835616438356165E-2</v>
      </c>
      <c r="AB59" s="3">
        <f t="shared" si="4"/>
        <v>4.1873913807217097E-2</v>
      </c>
      <c r="AC59" s="3">
        <f t="shared" si="5"/>
        <v>0.64902193138246511</v>
      </c>
      <c r="AD59" s="3">
        <f t="shared" si="6"/>
        <v>0.74183789968151459</v>
      </c>
      <c r="AE59" s="3">
        <f t="shared" si="7"/>
        <v>0.25816210031848541</v>
      </c>
      <c r="AF59">
        <f t="shared" si="8"/>
        <v>1.7899999999999999E-2</v>
      </c>
      <c r="AG59" s="3">
        <f t="shared" si="9"/>
        <v>0.60714801757524806</v>
      </c>
      <c r="AH59" s="3">
        <f t="shared" si="10"/>
        <v>0.72812365689505554</v>
      </c>
      <c r="AI59" s="3">
        <f t="shared" si="11"/>
        <v>0.27187634310494441</v>
      </c>
      <c r="AJ59" s="18">
        <f t="shared" si="12"/>
        <v>152.09789297208681</v>
      </c>
      <c r="AK59" s="18" t="str">
        <f t="shared" si="13"/>
        <v>Call</v>
      </c>
      <c r="AL59" s="3">
        <f t="shared" si="14"/>
        <v>152.09789297208681</v>
      </c>
      <c r="AM59" s="3">
        <f t="shared" si="15"/>
        <v>0.64902193138246511</v>
      </c>
      <c r="AN59" s="3">
        <f t="shared" si="16"/>
        <v>0.60714801757524806</v>
      </c>
    </row>
    <row r="60" spans="1:40" x14ac:dyDescent="0.25">
      <c r="A60" s="1">
        <v>45322.666666666664</v>
      </c>
      <c r="B60">
        <v>20240216</v>
      </c>
      <c r="C60">
        <v>4663.5</v>
      </c>
      <c r="D60">
        <v>4648.2287960000003</v>
      </c>
      <c r="E60" t="s">
        <v>40</v>
      </c>
      <c r="F60">
        <v>4550</v>
      </c>
      <c r="G60">
        <v>10</v>
      </c>
      <c r="H60" t="s">
        <v>41</v>
      </c>
      <c r="I60" s="3">
        <v>18.8</v>
      </c>
      <c r="J60" s="3">
        <v>19.2</v>
      </c>
      <c r="K60" s="7">
        <v>15.004803430000001</v>
      </c>
      <c r="L60" s="3">
        <v>0.64329366399999999</v>
      </c>
      <c r="M60" s="3">
        <v>18.909409459999999</v>
      </c>
      <c r="N60" s="3">
        <v>-0.22968081800000001</v>
      </c>
      <c r="O60" s="3">
        <v>2.8126691930000001</v>
      </c>
      <c r="P60" s="3">
        <v>1.862091E-3</v>
      </c>
      <c r="Q60" s="3">
        <v>-1.8090682950000001</v>
      </c>
      <c r="R60">
        <v>0</v>
      </c>
      <c r="S60" t="b">
        <v>1</v>
      </c>
      <c r="T60" s="1">
        <v>45322.666666666664</v>
      </c>
      <c r="U60" s="1">
        <v>45338.666666666664</v>
      </c>
      <c r="V60" s="5">
        <f t="shared" si="0"/>
        <v>4.3835616438356165E-2</v>
      </c>
      <c r="W60">
        <v>3.7900000000000003E-2</v>
      </c>
      <c r="X60" s="4">
        <v>0.2</v>
      </c>
      <c r="Y60" s="5">
        <f t="shared" si="1"/>
        <v>2.4639006221922093E-2</v>
      </c>
      <c r="Z60">
        <f t="shared" si="2"/>
        <v>5.7900000000000007E-2</v>
      </c>
      <c r="AA60" s="3">
        <f t="shared" si="3"/>
        <v>4.3835616438356165E-2</v>
      </c>
      <c r="AB60" s="3">
        <f t="shared" si="4"/>
        <v>4.1873913807217097E-2</v>
      </c>
      <c r="AC60" s="3">
        <f t="shared" si="5"/>
        <v>0.64902193138246511</v>
      </c>
      <c r="AD60" s="3">
        <f t="shared" si="6"/>
        <v>0.74183789968151459</v>
      </c>
      <c r="AE60" s="3">
        <f t="shared" si="7"/>
        <v>0.25816210031848541</v>
      </c>
      <c r="AF60">
        <f t="shared" si="8"/>
        <v>1.7899999999999999E-2</v>
      </c>
      <c r="AG60" s="3">
        <f t="shared" si="9"/>
        <v>0.60714801757524806</v>
      </c>
      <c r="AH60" s="3">
        <f t="shared" si="10"/>
        <v>0.72812365689505554</v>
      </c>
      <c r="AI60" s="3">
        <f t="shared" si="11"/>
        <v>0.27187634310494441</v>
      </c>
      <c r="AJ60" s="18" t="str">
        <f t="shared" si="12"/>
        <v>Put</v>
      </c>
      <c r="AK60" s="18">
        <f t="shared" si="13"/>
        <v>31.044935960227122</v>
      </c>
      <c r="AL60" s="3">
        <f t="shared" si="14"/>
        <v>31.044935960227122</v>
      </c>
      <c r="AM60" s="3">
        <f t="shared" si="15"/>
        <v>0.64902193138246511</v>
      </c>
      <c r="AN60" s="3">
        <f t="shared" si="16"/>
        <v>0.60714801757524806</v>
      </c>
    </row>
    <row r="61" spans="1:40" x14ac:dyDescent="0.25">
      <c r="A61" s="1">
        <v>45322.666666666664</v>
      </c>
      <c r="B61">
        <v>20240216</v>
      </c>
      <c r="C61">
        <v>4663.5</v>
      </c>
      <c r="D61">
        <v>4648.2287960000003</v>
      </c>
      <c r="E61" t="s">
        <v>42</v>
      </c>
      <c r="F61">
        <v>4575</v>
      </c>
      <c r="G61">
        <v>10</v>
      </c>
      <c r="H61" t="s">
        <v>41</v>
      </c>
      <c r="I61" s="3">
        <v>97.2</v>
      </c>
      <c r="J61" s="3">
        <v>98.8</v>
      </c>
      <c r="K61" s="7">
        <v>14.45934214</v>
      </c>
      <c r="L61" s="3">
        <v>0.64329366399999999</v>
      </c>
      <c r="M61" s="3">
        <v>97.953073029999999</v>
      </c>
      <c r="N61" s="3">
        <v>0.71310552199999999</v>
      </c>
      <c r="O61" s="3">
        <v>3.130463073</v>
      </c>
      <c r="P61" s="3">
        <v>2.2485420000000001E-3</v>
      </c>
      <c r="Q61" s="3">
        <v>-2.028576878</v>
      </c>
      <c r="R61">
        <v>0</v>
      </c>
      <c r="S61" t="b">
        <v>1</v>
      </c>
      <c r="T61" s="1">
        <v>45322.666666666664</v>
      </c>
      <c r="U61" s="1">
        <v>45338.666666666664</v>
      </c>
      <c r="V61" s="5">
        <f t="shared" si="0"/>
        <v>4.3835616438356165E-2</v>
      </c>
      <c r="W61">
        <v>3.7900000000000003E-2</v>
      </c>
      <c r="X61" s="4">
        <v>0.2</v>
      </c>
      <c r="Y61" s="5">
        <f t="shared" si="1"/>
        <v>1.9159540457296443E-2</v>
      </c>
      <c r="Z61">
        <f t="shared" si="2"/>
        <v>5.7900000000000007E-2</v>
      </c>
      <c r="AA61" s="3">
        <f t="shared" si="3"/>
        <v>4.3835616438356165E-2</v>
      </c>
      <c r="AB61" s="3">
        <f t="shared" si="4"/>
        <v>4.1873913807217097E-2</v>
      </c>
      <c r="AC61" s="3">
        <f t="shared" si="5"/>
        <v>0.51816562332746674</v>
      </c>
      <c r="AD61" s="3">
        <f t="shared" si="6"/>
        <v>0.69782864128842081</v>
      </c>
      <c r="AE61" s="3">
        <f t="shared" si="7"/>
        <v>0.30217135871157919</v>
      </c>
      <c r="AF61">
        <f t="shared" si="8"/>
        <v>1.7899999999999999E-2</v>
      </c>
      <c r="AG61" s="3">
        <f t="shared" si="9"/>
        <v>0.47629170952024968</v>
      </c>
      <c r="AH61" s="3">
        <f t="shared" si="10"/>
        <v>0.6830667145439242</v>
      </c>
      <c r="AI61" s="3">
        <f t="shared" si="11"/>
        <v>0.31693328545607574</v>
      </c>
      <c r="AJ61" s="18">
        <f t="shared" si="12"/>
        <v>134.48117024859448</v>
      </c>
      <c r="AK61" s="18" t="str">
        <f t="shared" si="13"/>
        <v>Call</v>
      </c>
      <c r="AL61" s="3">
        <f t="shared" si="14"/>
        <v>134.48117024859448</v>
      </c>
      <c r="AM61" s="3">
        <f t="shared" si="15"/>
        <v>0.51816562332746674</v>
      </c>
      <c r="AN61" s="3">
        <f t="shared" si="16"/>
        <v>0.47629170952024968</v>
      </c>
    </row>
    <row r="62" spans="1:40" x14ac:dyDescent="0.25">
      <c r="A62" s="1">
        <v>45322.666666666664</v>
      </c>
      <c r="B62">
        <v>20240216</v>
      </c>
      <c r="C62">
        <v>4663.5</v>
      </c>
      <c r="D62">
        <v>4648.2287960000003</v>
      </c>
      <c r="E62" t="s">
        <v>40</v>
      </c>
      <c r="F62">
        <v>4575</v>
      </c>
      <c r="G62">
        <v>10</v>
      </c>
      <c r="H62" t="s">
        <v>41</v>
      </c>
      <c r="I62" s="3">
        <v>23.7</v>
      </c>
      <c r="J62" s="3">
        <v>24.2</v>
      </c>
      <c r="K62" s="7">
        <v>14.45934214</v>
      </c>
      <c r="L62" s="3">
        <v>0.64329366399999999</v>
      </c>
      <c r="M62" s="3">
        <v>23.922661860000002</v>
      </c>
      <c r="N62" s="3">
        <v>-0.282068233</v>
      </c>
      <c r="O62" s="3">
        <v>3.130463073</v>
      </c>
      <c r="P62" s="3">
        <v>2.2485420000000001E-3</v>
      </c>
      <c r="Q62" s="3">
        <v>-2.028576878</v>
      </c>
      <c r="R62">
        <v>0</v>
      </c>
      <c r="S62" t="b">
        <v>1</v>
      </c>
      <c r="T62" s="1">
        <v>45322.666666666664</v>
      </c>
      <c r="U62" s="1">
        <v>45338.666666666664</v>
      </c>
      <c r="V62" s="5">
        <f t="shared" si="0"/>
        <v>4.3835616438356165E-2</v>
      </c>
      <c r="W62">
        <v>3.7900000000000003E-2</v>
      </c>
      <c r="X62" s="4">
        <v>0.2</v>
      </c>
      <c r="Y62" s="5">
        <f t="shared" si="1"/>
        <v>1.9159540457296443E-2</v>
      </c>
      <c r="Z62">
        <f t="shared" si="2"/>
        <v>5.7900000000000007E-2</v>
      </c>
      <c r="AA62" s="3">
        <f t="shared" si="3"/>
        <v>4.3835616438356165E-2</v>
      </c>
      <c r="AB62" s="3">
        <f t="shared" si="4"/>
        <v>4.1873913807217097E-2</v>
      </c>
      <c r="AC62" s="3">
        <f t="shared" si="5"/>
        <v>0.51816562332746674</v>
      </c>
      <c r="AD62" s="3">
        <f t="shared" si="6"/>
        <v>0.69782864128842081</v>
      </c>
      <c r="AE62" s="3">
        <f t="shared" si="7"/>
        <v>0.30217135871157919</v>
      </c>
      <c r="AF62">
        <f t="shared" si="8"/>
        <v>1.7899999999999999E-2</v>
      </c>
      <c r="AG62" s="3">
        <f t="shared" si="9"/>
        <v>0.47629170952024968</v>
      </c>
      <c r="AH62" s="3">
        <f t="shared" si="10"/>
        <v>0.6830667145439242</v>
      </c>
      <c r="AI62" s="3">
        <f t="shared" si="11"/>
        <v>0.31693328545607574</v>
      </c>
      <c r="AJ62" s="18" t="str">
        <f t="shared" si="12"/>
        <v>Put</v>
      </c>
      <c r="AK62" s="18">
        <f t="shared" si="13"/>
        <v>38.386713472932342</v>
      </c>
      <c r="AL62" s="3">
        <f t="shared" si="14"/>
        <v>38.386713472932342</v>
      </c>
      <c r="AM62" s="3">
        <f t="shared" si="15"/>
        <v>0.51816562332746674</v>
      </c>
      <c r="AN62" s="3">
        <f t="shared" si="16"/>
        <v>0.47629170952024968</v>
      </c>
    </row>
    <row r="63" spans="1:40" x14ac:dyDescent="0.25">
      <c r="A63" s="1">
        <v>45322.666666666664</v>
      </c>
      <c r="B63">
        <v>20240216</v>
      </c>
      <c r="C63">
        <v>4663.5</v>
      </c>
      <c r="D63">
        <v>4648.2287960000003</v>
      </c>
      <c r="E63" t="s">
        <v>42</v>
      </c>
      <c r="F63">
        <v>4600</v>
      </c>
      <c r="G63">
        <v>10</v>
      </c>
      <c r="H63" t="s">
        <v>41</v>
      </c>
      <c r="I63" s="3">
        <v>78.7</v>
      </c>
      <c r="J63" s="3">
        <v>80.2</v>
      </c>
      <c r="K63" s="7">
        <v>13.956140660000001</v>
      </c>
      <c r="L63" s="3">
        <v>0.64329366399999999</v>
      </c>
      <c r="M63" s="3">
        <v>79.434831520000003</v>
      </c>
      <c r="N63" s="3">
        <v>0.65089102399999998</v>
      </c>
      <c r="O63" s="3">
        <v>3.4097443869999999</v>
      </c>
      <c r="P63" s="3">
        <v>2.639883E-3</v>
      </c>
      <c r="Q63" s="3">
        <v>-2.2187517259999998</v>
      </c>
      <c r="R63">
        <v>0</v>
      </c>
      <c r="S63" t="b">
        <v>1</v>
      </c>
      <c r="T63" s="1">
        <v>45322.666666666664</v>
      </c>
      <c r="U63" s="1">
        <v>45338.666666666664</v>
      </c>
      <c r="V63" s="5">
        <f t="shared" si="0"/>
        <v>4.3835616438356165E-2</v>
      </c>
      <c r="W63">
        <v>3.7900000000000003E-2</v>
      </c>
      <c r="X63" s="4">
        <v>0.2</v>
      </c>
      <c r="Y63" s="5">
        <f t="shared" si="1"/>
        <v>1.3709935689731839E-2</v>
      </c>
      <c r="Z63">
        <f t="shared" si="2"/>
        <v>5.7900000000000007E-2</v>
      </c>
      <c r="AA63" s="3">
        <f t="shared" si="3"/>
        <v>4.3835616438356165E-2</v>
      </c>
      <c r="AB63" s="3">
        <f t="shared" si="4"/>
        <v>4.1873913807217097E-2</v>
      </c>
      <c r="AC63" s="3">
        <f t="shared" si="5"/>
        <v>0.38802243220723892</v>
      </c>
      <c r="AD63" s="3">
        <f t="shared" si="6"/>
        <v>0.65100028342543215</v>
      </c>
      <c r="AE63" s="3">
        <f t="shared" si="7"/>
        <v>0.34899971657456785</v>
      </c>
      <c r="AF63">
        <f t="shared" si="8"/>
        <v>1.7899999999999999E-2</v>
      </c>
      <c r="AG63" s="3">
        <f t="shared" si="9"/>
        <v>0.34614851840002181</v>
      </c>
      <c r="AH63" s="3">
        <f t="shared" si="10"/>
        <v>0.63538444892342627</v>
      </c>
      <c r="AI63" s="3">
        <f t="shared" si="11"/>
        <v>0.36461555107657373</v>
      </c>
      <c r="AJ63" s="18">
        <f t="shared" si="12"/>
        <v>118.02312474457131</v>
      </c>
      <c r="AK63" s="18" t="str">
        <f t="shared" si="13"/>
        <v>Call</v>
      </c>
      <c r="AL63" s="3">
        <f t="shared" si="14"/>
        <v>118.02312474457131</v>
      </c>
      <c r="AM63" s="3">
        <f t="shared" si="15"/>
        <v>0.38802243220723892</v>
      </c>
      <c r="AN63" s="3">
        <f t="shared" si="16"/>
        <v>0.34614851840002181</v>
      </c>
    </row>
    <row r="64" spans="1:40" x14ac:dyDescent="0.25">
      <c r="A64" s="1">
        <v>45322.666666666664</v>
      </c>
      <c r="B64">
        <v>20240216</v>
      </c>
      <c r="C64">
        <v>4663.5</v>
      </c>
      <c r="D64">
        <v>4648.2287960000003</v>
      </c>
      <c r="E64" t="s">
        <v>40</v>
      </c>
      <c r="F64">
        <v>4600</v>
      </c>
      <c r="G64">
        <v>10</v>
      </c>
      <c r="H64" t="s">
        <v>41</v>
      </c>
      <c r="I64" s="3">
        <v>30</v>
      </c>
      <c r="J64" s="3">
        <v>30.6</v>
      </c>
      <c r="K64" s="7">
        <v>13.956140660000001</v>
      </c>
      <c r="L64" s="3">
        <v>0.64329366399999999</v>
      </c>
      <c r="M64" s="3">
        <v>30.360499000000001</v>
      </c>
      <c r="N64" s="3">
        <v>-0.34428273100000001</v>
      </c>
      <c r="O64" s="3">
        <v>3.4097443869999999</v>
      </c>
      <c r="P64" s="3">
        <v>2.639883E-3</v>
      </c>
      <c r="Q64" s="3">
        <v>-2.2187517259999998</v>
      </c>
      <c r="R64">
        <v>0</v>
      </c>
      <c r="S64" t="b">
        <v>1</v>
      </c>
      <c r="T64" s="1">
        <v>45322.666666666664</v>
      </c>
      <c r="U64" s="1">
        <v>45338.666666666664</v>
      </c>
      <c r="V64" s="5">
        <f t="shared" si="0"/>
        <v>4.3835616438356165E-2</v>
      </c>
      <c r="W64">
        <v>3.7900000000000003E-2</v>
      </c>
      <c r="X64" s="4">
        <v>0.2</v>
      </c>
      <c r="Y64" s="5">
        <f t="shared" si="1"/>
        <v>1.3709935689731839E-2</v>
      </c>
      <c r="Z64">
        <f t="shared" si="2"/>
        <v>5.7900000000000007E-2</v>
      </c>
      <c r="AA64" s="3">
        <f t="shared" si="3"/>
        <v>4.3835616438356165E-2</v>
      </c>
      <c r="AB64" s="3">
        <f t="shared" si="4"/>
        <v>4.1873913807217097E-2</v>
      </c>
      <c r="AC64" s="3">
        <f t="shared" si="5"/>
        <v>0.38802243220723892</v>
      </c>
      <c r="AD64" s="3">
        <f t="shared" si="6"/>
        <v>0.65100028342543215</v>
      </c>
      <c r="AE64" s="3">
        <f t="shared" si="7"/>
        <v>0.34899971657456785</v>
      </c>
      <c r="AF64">
        <f t="shared" si="8"/>
        <v>1.7899999999999999E-2</v>
      </c>
      <c r="AG64" s="3">
        <f t="shared" si="9"/>
        <v>0.34614851840002181</v>
      </c>
      <c r="AH64" s="3">
        <f t="shared" si="10"/>
        <v>0.63538444892342627</v>
      </c>
      <c r="AI64" s="3">
        <f t="shared" si="11"/>
        <v>0.36461555107657373</v>
      </c>
      <c r="AJ64" s="18" t="str">
        <f t="shared" si="12"/>
        <v>Put</v>
      </c>
      <c r="AK64" s="18">
        <f t="shared" si="13"/>
        <v>46.887168205109219</v>
      </c>
      <c r="AL64" s="3">
        <f t="shared" si="14"/>
        <v>46.887168205109219</v>
      </c>
      <c r="AM64" s="3">
        <f t="shared" si="15"/>
        <v>0.38802243220723892</v>
      </c>
      <c r="AN64" s="3">
        <f t="shared" si="16"/>
        <v>0.34614851840002181</v>
      </c>
    </row>
    <row r="65" spans="1:40" x14ac:dyDescent="0.25">
      <c r="A65" s="1">
        <v>45322.666666666664</v>
      </c>
      <c r="B65">
        <v>20240216</v>
      </c>
      <c r="C65">
        <v>4663.5</v>
      </c>
      <c r="D65">
        <v>4648.2287960000003</v>
      </c>
      <c r="E65" t="s">
        <v>42</v>
      </c>
      <c r="F65">
        <v>4625</v>
      </c>
      <c r="G65">
        <v>10</v>
      </c>
      <c r="H65" t="s">
        <v>41</v>
      </c>
      <c r="I65" s="3">
        <v>62</v>
      </c>
      <c r="J65" s="3">
        <v>63.2</v>
      </c>
      <c r="K65" s="7">
        <v>13.49452851</v>
      </c>
      <c r="L65" s="3">
        <v>0.64329366399999999</v>
      </c>
      <c r="M65" s="3">
        <v>62.629016839999998</v>
      </c>
      <c r="N65" s="3">
        <v>0.57928930099999998</v>
      </c>
      <c r="O65" s="3">
        <v>3.6098760140000001</v>
      </c>
      <c r="P65" s="3">
        <v>2.9924679999999999E-3</v>
      </c>
      <c r="Q65" s="3">
        <v>-2.3514645679999999</v>
      </c>
      <c r="R65">
        <v>0</v>
      </c>
      <c r="S65" t="b">
        <v>1</v>
      </c>
      <c r="T65" s="1">
        <v>45322.666666666664</v>
      </c>
      <c r="U65" s="1">
        <v>45338.666666666664</v>
      </c>
      <c r="V65" s="5">
        <f t="shared" si="0"/>
        <v>4.3835616438356165E-2</v>
      </c>
      <c r="W65">
        <v>3.7900000000000003E-2</v>
      </c>
      <c r="X65" s="4">
        <v>0.2</v>
      </c>
      <c r="Y65" s="5">
        <f t="shared" si="1"/>
        <v>8.289868220392585E-3</v>
      </c>
      <c r="Z65">
        <f t="shared" si="2"/>
        <v>5.7900000000000007E-2</v>
      </c>
      <c r="AA65" s="3">
        <f t="shared" si="3"/>
        <v>4.3835616438356165E-2</v>
      </c>
      <c r="AB65" s="3">
        <f t="shared" si="4"/>
        <v>4.1873913807217097E-2</v>
      </c>
      <c r="AC65" s="3">
        <f t="shared" si="5"/>
        <v>0.25858462769981577</v>
      </c>
      <c r="AD65" s="3">
        <f t="shared" si="6"/>
        <v>0.60202212737228455</v>
      </c>
      <c r="AE65" s="3">
        <f t="shared" si="7"/>
        <v>0.39797787262771545</v>
      </c>
      <c r="AF65">
        <f t="shared" si="8"/>
        <v>1.7899999999999999E-2</v>
      </c>
      <c r="AG65" s="3">
        <f t="shared" si="9"/>
        <v>0.21671071389259863</v>
      </c>
      <c r="AH65" s="3">
        <f t="shared" si="10"/>
        <v>0.58578310103045861</v>
      </c>
      <c r="AI65" s="3">
        <f t="shared" si="11"/>
        <v>0.41421689896954134</v>
      </c>
      <c r="AJ65" s="18">
        <f t="shared" si="12"/>
        <v>102.78067289613</v>
      </c>
      <c r="AK65" s="18" t="str">
        <f t="shared" si="13"/>
        <v>Call</v>
      </c>
      <c r="AL65" s="3">
        <f t="shared" si="14"/>
        <v>102.78067289613</v>
      </c>
      <c r="AM65" s="3">
        <f t="shared" si="15"/>
        <v>0.25858462769981577</v>
      </c>
      <c r="AN65" s="3">
        <f t="shared" si="16"/>
        <v>0.21671071389259863</v>
      </c>
    </row>
    <row r="66" spans="1:40" x14ac:dyDescent="0.25">
      <c r="A66" s="1">
        <v>45322.666666666664</v>
      </c>
      <c r="B66">
        <v>20240216</v>
      </c>
      <c r="C66">
        <v>4663.5</v>
      </c>
      <c r="D66">
        <v>4648.2287960000003</v>
      </c>
      <c r="E66" t="s">
        <v>40</v>
      </c>
      <c r="F66">
        <v>4625</v>
      </c>
      <c r="G66">
        <v>10</v>
      </c>
      <c r="H66" t="s">
        <v>41</v>
      </c>
      <c r="I66" s="3">
        <v>38</v>
      </c>
      <c r="J66" s="3">
        <v>38.6</v>
      </c>
      <c r="K66" s="7">
        <v>13.49452851</v>
      </c>
      <c r="L66" s="3">
        <v>0.64329366399999999</v>
      </c>
      <c r="M66" s="3">
        <v>38.510762970000002</v>
      </c>
      <c r="N66" s="3">
        <v>-0.41588445400000001</v>
      </c>
      <c r="O66" s="3">
        <v>3.6098760140000001</v>
      </c>
      <c r="P66" s="3">
        <v>2.9924679999999999E-3</v>
      </c>
      <c r="Q66" s="3">
        <v>-2.3514645679999999</v>
      </c>
      <c r="R66">
        <v>0</v>
      </c>
      <c r="S66" t="b">
        <v>1</v>
      </c>
      <c r="T66" s="1">
        <v>45322.666666666664</v>
      </c>
      <c r="U66" s="1">
        <v>45338.666666666664</v>
      </c>
      <c r="V66" s="5">
        <f t="shared" si="0"/>
        <v>4.3835616438356165E-2</v>
      </c>
      <c r="W66">
        <v>3.7900000000000003E-2</v>
      </c>
      <c r="X66" s="4">
        <v>0.2</v>
      </c>
      <c r="Y66" s="5">
        <f t="shared" si="1"/>
        <v>8.289868220392585E-3</v>
      </c>
      <c r="Z66">
        <f t="shared" si="2"/>
        <v>5.7900000000000007E-2</v>
      </c>
      <c r="AA66" s="3">
        <f t="shared" si="3"/>
        <v>4.3835616438356165E-2</v>
      </c>
      <c r="AB66" s="3">
        <f t="shared" si="4"/>
        <v>4.1873913807217097E-2</v>
      </c>
      <c r="AC66" s="3">
        <f t="shared" si="5"/>
        <v>0.25858462769981577</v>
      </c>
      <c r="AD66" s="3">
        <f t="shared" si="6"/>
        <v>0.60202212737228455</v>
      </c>
      <c r="AE66" s="3">
        <f t="shared" si="7"/>
        <v>0.39797787262771545</v>
      </c>
      <c r="AF66">
        <f t="shared" si="8"/>
        <v>1.7899999999999999E-2</v>
      </c>
      <c r="AG66" s="3">
        <f t="shared" si="9"/>
        <v>0.21671071389259863</v>
      </c>
      <c r="AH66" s="3">
        <f t="shared" si="10"/>
        <v>0.58578310103045861</v>
      </c>
      <c r="AI66" s="3">
        <f t="shared" si="11"/>
        <v>0.41421689896954134</v>
      </c>
      <c r="AJ66" s="18" t="str">
        <f t="shared" si="12"/>
        <v>Put</v>
      </c>
      <c r="AK66" s="18">
        <f t="shared" si="13"/>
        <v>56.603216592865465</v>
      </c>
      <c r="AL66" s="3">
        <f t="shared" si="14"/>
        <v>56.603216592865465</v>
      </c>
      <c r="AM66" s="3">
        <f t="shared" si="15"/>
        <v>0.25858462769981577</v>
      </c>
      <c r="AN66" s="3">
        <f t="shared" si="16"/>
        <v>0.21671071389259863</v>
      </c>
    </row>
    <row r="67" spans="1:40" x14ac:dyDescent="0.25">
      <c r="A67" s="1">
        <v>45322.666666666664</v>
      </c>
      <c r="B67">
        <v>20240216</v>
      </c>
      <c r="C67">
        <v>4663.5</v>
      </c>
      <c r="D67">
        <v>4648.2287960000003</v>
      </c>
      <c r="E67" t="s">
        <v>42</v>
      </c>
      <c r="F67">
        <v>4650</v>
      </c>
      <c r="G67">
        <v>10</v>
      </c>
      <c r="H67" t="s">
        <v>41</v>
      </c>
      <c r="I67" s="3">
        <v>47.5</v>
      </c>
      <c r="J67" s="3">
        <v>48</v>
      </c>
      <c r="K67" s="7">
        <v>13.102048699999999</v>
      </c>
      <c r="L67" s="3">
        <v>0.64329366399999999</v>
      </c>
      <c r="M67" s="3">
        <v>47.908902410000003</v>
      </c>
      <c r="N67" s="3">
        <v>0.50002208699999995</v>
      </c>
      <c r="O67" s="3">
        <v>3.6881835010000001</v>
      </c>
      <c r="P67" s="3">
        <v>3.2373240000000002E-3</v>
      </c>
      <c r="Q67" s="3">
        <v>-2.398048492</v>
      </c>
      <c r="R67">
        <v>0</v>
      </c>
      <c r="S67" t="b">
        <v>1</v>
      </c>
      <c r="T67" s="1">
        <v>45322.666666666664</v>
      </c>
      <c r="U67" s="1">
        <v>45338.666666666664</v>
      </c>
      <c r="V67" s="5">
        <f t="shared" ref="V67:V106" si="17">(U67-T67)/365</f>
        <v>4.3835616438356165E-2</v>
      </c>
      <c r="W67">
        <v>3.7900000000000003E-2</v>
      </c>
      <c r="X67" s="4">
        <v>0.2</v>
      </c>
      <c r="Y67" s="5">
        <f t="shared" ref="Y67:Y106" si="18">(LN(C67/F67))</f>
        <v>2.8990195855162215E-3</v>
      </c>
      <c r="Z67">
        <f t="shared" ref="Z67:Z106" si="19">(W67+((X67)^2)/2)</f>
        <v>5.7900000000000007E-2</v>
      </c>
      <c r="AA67" s="3">
        <f t="shared" ref="AA67:AA106" si="20">V67</f>
        <v>4.3835616438356165E-2</v>
      </c>
      <c r="AB67" s="3">
        <f t="shared" ref="AB67:AB106" si="21">X67*SQRT(V67)</f>
        <v>4.1873913807217097E-2</v>
      </c>
      <c r="AC67" s="3">
        <f t="shared" ref="AC67:AC106" si="22">(Y67+Z67*AA67)/AB67</f>
        <v>0.12984460450314875</v>
      </c>
      <c r="AD67" s="3">
        <f t="shared" ref="AD67:AD106" si="23">_xlfn.NORM.DIST(AC67,0,1,TRUE)</f>
        <v>0.55165531384087352</v>
      </c>
      <c r="AE67" s="3">
        <f t="shared" ref="AE67:AE106" si="24">_xlfn.NORM.DIST(-AC67,0,1,TRUE)</f>
        <v>0.44834468615912643</v>
      </c>
      <c r="AF67">
        <f t="shared" ref="AF67:AF106" si="25">(W67-((X67)^2)/2)</f>
        <v>1.7899999999999999E-2</v>
      </c>
      <c r="AG67" s="3">
        <f t="shared" ref="AG67:AG106" si="26">(Y67+AF67*AA67)/AB67</f>
        <v>8.797069069593165E-2</v>
      </c>
      <c r="AH67" s="3">
        <f t="shared" ref="AH67:AH106" si="27">_xlfn.NORM.DIST(AG67,0,1,TRUE)</f>
        <v>0.53505001437925315</v>
      </c>
      <c r="AI67" s="3">
        <f t="shared" ref="AI67:AI106" si="28">_xlfn.NORM.DIST(-AG67,0,1,TRUE)</f>
        <v>0.4649499856207468</v>
      </c>
      <c r="AJ67" s="18">
        <f t="shared" ref="AJ67:AJ106" si="29">IF(E67="Call",C67*AD67-EXP(-W67*AA67)*F67*AH67,"Put")</f>
        <v>88.792016788062938</v>
      </c>
      <c r="AK67" s="18" t="str">
        <f t="shared" ref="AK67:AK106" si="30">IF(E67="Put",EXP(-W67*AA67)*F67*AI67-C67*AE67,"Call")</f>
        <v>Call</v>
      </c>
      <c r="AL67" s="3">
        <f t="shared" ref="AL67:AL106" si="31">IF(E67="Put",AK67,AJ67)</f>
        <v>88.792016788062938</v>
      </c>
      <c r="AM67" s="3">
        <f t="shared" ref="AM67:AM106" si="32">(LN(C67/F67)+(W67+((X67)^2)/2)*(V67))/(X67*SQRT(V67))</f>
        <v>0.12984460450314875</v>
      </c>
      <c r="AN67" s="3">
        <f t="shared" ref="AN67:AN106" si="33">(LN(C67/F67)+(W67-((X67)^2)/2)*(V67))/(X67*SQRT(V67))</f>
        <v>8.797069069593165E-2</v>
      </c>
    </row>
    <row r="68" spans="1:40" x14ac:dyDescent="0.25">
      <c r="A68" s="1">
        <v>45322.666666666664</v>
      </c>
      <c r="B68">
        <v>20240216</v>
      </c>
      <c r="C68">
        <v>4663.5</v>
      </c>
      <c r="D68">
        <v>4648.2287960000003</v>
      </c>
      <c r="E68" t="s">
        <v>40</v>
      </c>
      <c r="F68">
        <v>4650</v>
      </c>
      <c r="G68">
        <v>10</v>
      </c>
      <c r="H68" t="s">
        <v>41</v>
      </c>
      <c r="I68" s="3">
        <v>48.2</v>
      </c>
      <c r="J68" s="3">
        <v>48.9</v>
      </c>
      <c r="K68" s="7">
        <v>13.102048699999999</v>
      </c>
      <c r="L68" s="3">
        <v>0.64329366399999999</v>
      </c>
      <c r="M68" s="3">
        <v>48.746727200000002</v>
      </c>
      <c r="N68" s="3">
        <v>-0.49515166799999999</v>
      </c>
      <c r="O68" s="3">
        <v>3.6881835010000001</v>
      </c>
      <c r="P68" s="3">
        <v>3.2373240000000002E-3</v>
      </c>
      <c r="Q68" s="3">
        <v>-2.398048492</v>
      </c>
      <c r="R68">
        <v>0</v>
      </c>
      <c r="S68" t="b">
        <v>1</v>
      </c>
      <c r="T68" s="1">
        <v>45322.666666666664</v>
      </c>
      <c r="U68" s="1">
        <v>45338.666666666664</v>
      </c>
      <c r="V68" s="5">
        <f t="shared" si="17"/>
        <v>4.3835616438356165E-2</v>
      </c>
      <c r="W68">
        <v>3.7900000000000003E-2</v>
      </c>
      <c r="X68" s="4">
        <v>0.2</v>
      </c>
      <c r="Y68" s="5">
        <f t="shared" si="18"/>
        <v>2.8990195855162215E-3</v>
      </c>
      <c r="Z68">
        <f t="shared" si="19"/>
        <v>5.7900000000000007E-2</v>
      </c>
      <c r="AA68" s="3">
        <f t="shared" si="20"/>
        <v>4.3835616438356165E-2</v>
      </c>
      <c r="AB68" s="3">
        <f t="shared" si="21"/>
        <v>4.1873913807217097E-2</v>
      </c>
      <c r="AC68" s="3">
        <f t="shared" si="22"/>
        <v>0.12984460450314875</v>
      </c>
      <c r="AD68" s="3">
        <f t="shared" si="23"/>
        <v>0.55165531384087352</v>
      </c>
      <c r="AE68" s="3">
        <f t="shared" si="24"/>
        <v>0.44834468615912643</v>
      </c>
      <c r="AF68">
        <f t="shared" si="25"/>
        <v>1.7899999999999999E-2</v>
      </c>
      <c r="AG68" s="3">
        <f t="shared" si="26"/>
        <v>8.797069069593165E-2</v>
      </c>
      <c r="AH68" s="3">
        <f t="shared" si="27"/>
        <v>0.53505001437925315</v>
      </c>
      <c r="AI68" s="3">
        <f t="shared" si="28"/>
        <v>0.4649499856207468</v>
      </c>
      <c r="AJ68" s="18" t="str">
        <f t="shared" si="29"/>
        <v>Put</v>
      </c>
      <c r="AK68" s="18">
        <f t="shared" si="30"/>
        <v>67.573060720997091</v>
      </c>
      <c r="AL68" s="3">
        <f t="shared" si="31"/>
        <v>67.573060720997091</v>
      </c>
      <c r="AM68" s="3">
        <f t="shared" si="32"/>
        <v>0.12984460450314875</v>
      </c>
      <c r="AN68" s="3">
        <f t="shared" si="33"/>
        <v>8.797069069593165E-2</v>
      </c>
    </row>
    <row r="69" spans="1:40" x14ac:dyDescent="0.25">
      <c r="A69" s="1">
        <v>45322.666666666664</v>
      </c>
      <c r="B69">
        <v>20240216</v>
      </c>
      <c r="C69">
        <v>4663.5</v>
      </c>
      <c r="D69">
        <v>4648.2287960000003</v>
      </c>
      <c r="E69" t="s">
        <v>42</v>
      </c>
      <c r="F69">
        <v>4675</v>
      </c>
      <c r="G69">
        <v>10</v>
      </c>
      <c r="H69" t="s">
        <v>41</v>
      </c>
      <c r="I69" s="3">
        <v>35.200000000000003</v>
      </c>
      <c r="J69" s="3">
        <v>35.799999999999997</v>
      </c>
      <c r="K69" s="7">
        <v>12.805653</v>
      </c>
      <c r="L69" s="3">
        <v>0.64329366399999999</v>
      </c>
      <c r="M69" s="3">
        <v>35.57691896</v>
      </c>
      <c r="N69" s="3">
        <v>0.41695318599999998</v>
      </c>
      <c r="O69" s="3">
        <v>3.6119201809999999</v>
      </c>
      <c r="P69" s="3">
        <v>3.3007459999999998E-3</v>
      </c>
      <c r="Q69" s="3">
        <v>-2.3356568719999999</v>
      </c>
      <c r="R69">
        <v>0</v>
      </c>
      <c r="S69" t="b">
        <v>1</v>
      </c>
      <c r="T69" s="1">
        <v>45322.666666666664</v>
      </c>
      <c r="U69" s="1">
        <v>45338.666666666664</v>
      </c>
      <c r="V69" s="5">
        <f t="shared" si="17"/>
        <v>4.3835616438356165E-2</v>
      </c>
      <c r="W69">
        <v>3.7900000000000003E-2</v>
      </c>
      <c r="X69" s="4">
        <v>0.2</v>
      </c>
      <c r="Y69" s="5">
        <f t="shared" si="18"/>
        <v>-2.4629235558691633E-3</v>
      </c>
      <c r="Z69">
        <f t="shared" si="19"/>
        <v>5.7900000000000007E-2</v>
      </c>
      <c r="AA69" s="3">
        <f t="shared" si="20"/>
        <v>4.3835616438356165E-2</v>
      </c>
      <c r="AB69" s="3">
        <f t="shared" si="21"/>
        <v>4.1873913807217097E-2</v>
      </c>
      <c r="AC69" s="3">
        <f t="shared" si="22"/>
        <v>1.7948796536593409E-3</v>
      </c>
      <c r="AD69" s="3">
        <f t="shared" si="23"/>
        <v>0.50071605299760513</v>
      </c>
      <c r="AE69" s="3">
        <f t="shared" si="24"/>
        <v>0.49928394700239492</v>
      </c>
      <c r="AF69">
        <f t="shared" si="25"/>
        <v>1.7899999999999999E-2</v>
      </c>
      <c r="AG69" s="3">
        <f t="shared" si="26"/>
        <v>-4.0079034153557763E-2</v>
      </c>
      <c r="AH69" s="3">
        <f t="shared" si="27"/>
        <v>0.48401505834551667</v>
      </c>
      <c r="AI69" s="3">
        <f t="shared" si="28"/>
        <v>0.51598494165448328</v>
      </c>
      <c r="AJ69" s="18">
        <f t="shared" si="29"/>
        <v>76.075092870805747</v>
      </c>
      <c r="AK69" s="18" t="str">
        <f t="shared" si="30"/>
        <v>Call</v>
      </c>
      <c r="AL69" s="3">
        <f t="shared" si="31"/>
        <v>76.075092870805747</v>
      </c>
      <c r="AM69" s="3">
        <f t="shared" si="32"/>
        <v>1.7948796536593409E-3</v>
      </c>
      <c r="AN69" s="3">
        <f t="shared" si="33"/>
        <v>-4.0079034153557763E-2</v>
      </c>
    </row>
    <row r="70" spans="1:40" x14ac:dyDescent="0.25">
      <c r="A70" s="1">
        <v>45322.666666666664</v>
      </c>
      <c r="B70">
        <v>20240216</v>
      </c>
      <c r="C70">
        <v>4663.5</v>
      </c>
      <c r="D70">
        <v>4648.2287960000003</v>
      </c>
      <c r="E70" t="s">
        <v>40</v>
      </c>
      <c r="F70">
        <v>4675</v>
      </c>
      <c r="G70">
        <v>10</v>
      </c>
      <c r="H70" t="s">
        <v>41</v>
      </c>
      <c r="I70" s="3">
        <v>61</v>
      </c>
      <c r="J70" s="3">
        <v>61.7</v>
      </c>
      <c r="K70" s="7">
        <v>12.805653</v>
      </c>
      <c r="L70" s="3">
        <v>0.64329366399999999</v>
      </c>
      <c r="M70" s="3">
        <v>61.370822390000001</v>
      </c>
      <c r="N70" s="3">
        <v>-0.57822056899999996</v>
      </c>
      <c r="O70" s="3">
        <v>3.6119201809999999</v>
      </c>
      <c r="P70" s="3">
        <v>3.3007459999999998E-3</v>
      </c>
      <c r="Q70" s="3">
        <v>-2.3356568719999999</v>
      </c>
      <c r="R70">
        <v>0</v>
      </c>
      <c r="S70" t="b">
        <v>1</v>
      </c>
      <c r="T70" s="1">
        <v>45322.666666666664</v>
      </c>
      <c r="U70" s="1">
        <v>45338.666666666664</v>
      </c>
      <c r="V70" s="5">
        <f t="shared" si="17"/>
        <v>4.3835616438356165E-2</v>
      </c>
      <c r="W70">
        <v>3.7900000000000003E-2</v>
      </c>
      <c r="X70" s="4">
        <v>0.2</v>
      </c>
      <c r="Y70" s="5">
        <f t="shared" si="18"/>
        <v>-2.4629235558691633E-3</v>
      </c>
      <c r="Z70">
        <f t="shared" si="19"/>
        <v>5.7900000000000007E-2</v>
      </c>
      <c r="AA70" s="3">
        <f t="shared" si="20"/>
        <v>4.3835616438356165E-2</v>
      </c>
      <c r="AB70" s="3">
        <f t="shared" si="21"/>
        <v>4.1873913807217097E-2</v>
      </c>
      <c r="AC70" s="3">
        <f t="shared" si="22"/>
        <v>1.7948796536593409E-3</v>
      </c>
      <c r="AD70" s="3">
        <f t="shared" si="23"/>
        <v>0.50071605299760513</v>
      </c>
      <c r="AE70" s="3">
        <f t="shared" si="24"/>
        <v>0.49928394700239492</v>
      </c>
      <c r="AF70">
        <f t="shared" si="25"/>
        <v>1.7899999999999999E-2</v>
      </c>
      <c r="AG70" s="3">
        <f t="shared" si="26"/>
        <v>-4.0079034153557763E-2</v>
      </c>
      <c r="AH70" s="3">
        <f t="shared" si="27"/>
        <v>0.48401505834551667</v>
      </c>
      <c r="AI70" s="3">
        <f t="shared" si="28"/>
        <v>0.51598494165448328</v>
      </c>
      <c r="AJ70" s="18" t="str">
        <f t="shared" si="29"/>
        <v>Put</v>
      </c>
      <c r="AK70" s="18">
        <f t="shared" si="30"/>
        <v>79.814637039938589</v>
      </c>
      <c r="AL70" s="3">
        <f t="shared" si="31"/>
        <v>79.814637039938589</v>
      </c>
      <c r="AM70" s="3">
        <f t="shared" si="32"/>
        <v>1.7948796536593409E-3</v>
      </c>
      <c r="AN70" s="3">
        <f t="shared" si="33"/>
        <v>-4.0079034153557763E-2</v>
      </c>
    </row>
    <row r="71" spans="1:40" x14ac:dyDescent="0.25">
      <c r="A71" s="1">
        <v>45322.666666666664</v>
      </c>
      <c r="B71">
        <v>20240216</v>
      </c>
      <c r="C71">
        <v>4663.5</v>
      </c>
      <c r="D71">
        <v>4648.2287960000003</v>
      </c>
      <c r="E71" t="s">
        <v>42</v>
      </c>
      <c r="F71">
        <v>4700</v>
      </c>
      <c r="G71">
        <v>10</v>
      </c>
      <c r="H71" t="s">
        <v>41</v>
      </c>
      <c r="I71" s="3">
        <v>25.5</v>
      </c>
      <c r="J71" s="3">
        <v>26</v>
      </c>
      <c r="K71" s="7">
        <v>12.60381662</v>
      </c>
      <c r="L71" s="3">
        <v>0.64329366399999999</v>
      </c>
      <c r="M71" s="3">
        <v>25.68141662</v>
      </c>
      <c r="N71" s="3">
        <v>0.33539074200000002</v>
      </c>
      <c r="O71" s="3">
        <v>3.3760061709999998</v>
      </c>
      <c r="P71" s="3">
        <v>3.151671E-3</v>
      </c>
      <c r="Q71" s="3">
        <v>-2.16042135</v>
      </c>
      <c r="R71">
        <v>0</v>
      </c>
      <c r="S71" t="b">
        <v>1</v>
      </c>
      <c r="T71" s="1">
        <v>45322.666666666664</v>
      </c>
      <c r="U71" s="1">
        <v>45338.666666666664</v>
      </c>
      <c r="V71" s="5">
        <f t="shared" si="17"/>
        <v>4.3835616438356165E-2</v>
      </c>
      <c r="W71">
        <v>3.7900000000000003E-2</v>
      </c>
      <c r="X71" s="4">
        <v>0.2</v>
      </c>
      <c r="Y71" s="5">
        <f t="shared" si="18"/>
        <v>-7.7962695312317754E-3</v>
      </c>
      <c r="Z71">
        <f t="shared" si="19"/>
        <v>5.7900000000000007E-2</v>
      </c>
      <c r="AA71" s="3">
        <f t="shared" si="20"/>
        <v>4.3835616438356165E-2</v>
      </c>
      <c r="AB71" s="3">
        <f t="shared" si="21"/>
        <v>4.1873913807217097E-2</v>
      </c>
      <c r="AC71" s="3">
        <f t="shared" si="22"/>
        <v>-0.12557191008366378</v>
      </c>
      <c r="AD71" s="3">
        <f t="shared" si="23"/>
        <v>0.45003539970931694</v>
      </c>
      <c r="AE71" s="3">
        <f t="shared" si="24"/>
        <v>0.54996460029068306</v>
      </c>
      <c r="AF71">
        <f t="shared" si="25"/>
        <v>1.7899999999999999E-2</v>
      </c>
      <c r="AG71" s="3">
        <f t="shared" si="26"/>
        <v>-0.16744582389088089</v>
      </c>
      <c r="AH71" s="3">
        <f t="shared" si="27"/>
        <v>0.43350963592646663</v>
      </c>
      <c r="AI71" s="3">
        <f t="shared" si="28"/>
        <v>0.56649036407353337</v>
      </c>
      <c r="AJ71" s="18">
        <f t="shared" si="29"/>
        <v>64.627020619365794</v>
      </c>
      <c r="AK71" s="18" t="str">
        <f t="shared" si="30"/>
        <v>Call</v>
      </c>
      <c r="AL71" s="3">
        <f t="shared" si="31"/>
        <v>64.627020619365794</v>
      </c>
      <c r="AM71" s="3">
        <f t="shared" si="32"/>
        <v>-0.12557191008366378</v>
      </c>
      <c r="AN71" s="3">
        <f t="shared" si="33"/>
        <v>-0.16744582389088089</v>
      </c>
    </row>
    <row r="72" spans="1:40" x14ac:dyDescent="0.25">
      <c r="A72" s="1">
        <v>45322.666666666664</v>
      </c>
      <c r="B72">
        <v>20240216</v>
      </c>
      <c r="C72">
        <v>4663.5</v>
      </c>
      <c r="D72">
        <v>4648.2287960000003</v>
      </c>
      <c r="E72" t="s">
        <v>40</v>
      </c>
      <c r="F72">
        <v>4700</v>
      </c>
      <c r="G72">
        <v>10</v>
      </c>
      <c r="H72" t="s">
        <v>41</v>
      </c>
      <c r="I72" s="3">
        <v>75.8</v>
      </c>
      <c r="J72" s="3">
        <v>77.2</v>
      </c>
      <c r="K72" s="7">
        <v>12.60381662</v>
      </c>
      <c r="L72" s="3">
        <v>0.64329366399999999</v>
      </c>
      <c r="M72" s="3">
        <v>76.431398709999996</v>
      </c>
      <c r="N72" s="3">
        <v>-0.65978301299999997</v>
      </c>
      <c r="O72" s="3">
        <v>3.3760061709999998</v>
      </c>
      <c r="P72" s="3">
        <v>3.151671E-3</v>
      </c>
      <c r="Q72" s="3">
        <v>-2.16042135</v>
      </c>
      <c r="R72">
        <v>0</v>
      </c>
      <c r="S72" t="b">
        <v>1</v>
      </c>
      <c r="T72" s="1">
        <v>45322.666666666664</v>
      </c>
      <c r="U72" s="1">
        <v>45338.666666666664</v>
      </c>
      <c r="V72" s="5">
        <f t="shared" si="17"/>
        <v>4.3835616438356165E-2</v>
      </c>
      <c r="W72">
        <v>3.7900000000000003E-2</v>
      </c>
      <c r="X72" s="4">
        <v>0.2</v>
      </c>
      <c r="Y72" s="5">
        <f t="shared" si="18"/>
        <v>-7.7962695312317754E-3</v>
      </c>
      <c r="Z72">
        <f t="shared" si="19"/>
        <v>5.7900000000000007E-2</v>
      </c>
      <c r="AA72" s="3">
        <f t="shared" si="20"/>
        <v>4.3835616438356165E-2</v>
      </c>
      <c r="AB72" s="3">
        <f t="shared" si="21"/>
        <v>4.1873913807217097E-2</v>
      </c>
      <c r="AC72" s="3">
        <f t="shared" si="22"/>
        <v>-0.12557191008366378</v>
      </c>
      <c r="AD72" s="3">
        <f t="shared" si="23"/>
        <v>0.45003539970931694</v>
      </c>
      <c r="AE72" s="3">
        <f t="shared" si="24"/>
        <v>0.54996460029068306</v>
      </c>
      <c r="AF72">
        <f t="shared" si="25"/>
        <v>1.7899999999999999E-2</v>
      </c>
      <c r="AG72" s="3">
        <f t="shared" si="26"/>
        <v>-0.16744582389088089</v>
      </c>
      <c r="AH72" s="3">
        <f t="shared" si="27"/>
        <v>0.43350963592646663</v>
      </c>
      <c r="AI72" s="3">
        <f t="shared" si="28"/>
        <v>0.56649036407353337</v>
      </c>
      <c r="AJ72" s="18" t="str">
        <f t="shared" si="29"/>
        <v>Put</v>
      </c>
      <c r="AK72" s="18">
        <f t="shared" si="30"/>
        <v>93.325065024697324</v>
      </c>
      <c r="AL72" s="3">
        <f t="shared" si="31"/>
        <v>93.325065024697324</v>
      </c>
      <c r="AM72" s="3">
        <f t="shared" si="32"/>
        <v>-0.12557191008366378</v>
      </c>
      <c r="AN72" s="3">
        <f t="shared" si="33"/>
        <v>-0.16744582389088089</v>
      </c>
    </row>
    <row r="73" spans="1:40" x14ac:dyDescent="0.25">
      <c r="A73" s="1">
        <v>45322.666666666664</v>
      </c>
      <c r="B73">
        <v>20240216</v>
      </c>
      <c r="C73">
        <v>4663.5</v>
      </c>
      <c r="D73">
        <v>4648.2287960000003</v>
      </c>
      <c r="E73" t="s">
        <v>42</v>
      </c>
      <c r="F73">
        <v>4725</v>
      </c>
      <c r="G73">
        <v>10</v>
      </c>
      <c r="H73" t="s">
        <v>41</v>
      </c>
      <c r="I73" s="3">
        <v>18</v>
      </c>
      <c r="J73" s="3">
        <v>18.5</v>
      </c>
      <c r="K73" s="7">
        <v>12.495044310000001</v>
      </c>
      <c r="L73" s="3">
        <v>0.64329366399999999</v>
      </c>
      <c r="M73" s="3">
        <v>18.091011250000001</v>
      </c>
      <c r="N73" s="3">
        <v>0.26059342000000002</v>
      </c>
      <c r="O73" s="3">
        <v>3.0097791950000001</v>
      </c>
      <c r="P73" s="3">
        <v>2.819939E-3</v>
      </c>
      <c r="Q73" s="3">
        <v>-1.899803495</v>
      </c>
      <c r="R73">
        <v>0</v>
      </c>
      <c r="S73" t="b">
        <v>1</v>
      </c>
      <c r="T73" s="1">
        <v>45322.666666666664</v>
      </c>
      <c r="U73" s="1">
        <v>45338.666666666664</v>
      </c>
      <c r="V73" s="5">
        <f t="shared" si="17"/>
        <v>4.3835616438356165E-2</v>
      </c>
      <c r="W73">
        <v>3.7900000000000003E-2</v>
      </c>
      <c r="X73" s="4">
        <v>0.2</v>
      </c>
      <c r="Y73" s="5">
        <f t="shared" si="18"/>
        <v>-1.3101321760924956E-2</v>
      </c>
      <c r="Z73">
        <f t="shared" si="19"/>
        <v>5.7900000000000007E-2</v>
      </c>
      <c r="AA73" s="3">
        <f t="shared" si="20"/>
        <v>4.3835616438356165E-2</v>
      </c>
      <c r="AB73" s="3">
        <f t="shared" si="21"/>
        <v>4.1873913807217097E-2</v>
      </c>
      <c r="AC73" s="3">
        <f t="shared" si="22"/>
        <v>-0.25226301075595964</v>
      </c>
      <c r="AD73" s="3">
        <f t="shared" si="23"/>
        <v>0.4004188884360973</v>
      </c>
      <c r="AE73" s="3">
        <f t="shared" si="24"/>
        <v>0.5995811115639027</v>
      </c>
      <c r="AF73">
        <f t="shared" si="25"/>
        <v>1.7899999999999999E-2</v>
      </c>
      <c r="AG73" s="3">
        <f t="shared" si="26"/>
        <v>-0.29413692456317675</v>
      </c>
      <c r="AH73" s="3">
        <f t="shared" si="27"/>
        <v>0.38432663823750102</v>
      </c>
      <c r="AI73" s="3">
        <f t="shared" si="28"/>
        <v>0.61567336176249898</v>
      </c>
      <c r="AJ73" s="18">
        <f t="shared" si="29"/>
        <v>54.424569379634249</v>
      </c>
      <c r="AK73" s="18" t="str">
        <f t="shared" si="30"/>
        <v>Call</v>
      </c>
      <c r="AL73" s="3">
        <f t="shared" si="31"/>
        <v>54.424569379634249</v>
      </c>
      <c r="AM73" s="3">
        <f t="shared" si="32"/>
        <v>-0.25226301075595964</v>
      </c>
      <c r="AN73" s="3">
        <f t="shared" si="33"/>
        <v>-0.29413692456317675</v>
      </c>
    </row>
    <row r="74" spans="1:40" x14ac:dyDescent="0.25">
      <c r="A74" s="1">
        <v>45322.666666666664</v>
      </c>
      <c r="B74">
        <v>20240216</v>
      </c>
      <c r="C74">
        <v>4663.5</v>
      </c>
      <c r="D74">
        <v>4648.2287960000003</v>
      </c>
      <c r="E74" t="s">
        <v>40</v>
      </c>
      <c r="F74">
        <v>4725</v>
      </c>
      <c r="G74">
        <v>10</v>
      </c>
      <c r="H74" t="s">
        <v>41</v>
      </c>
      <c r="I74" s="3">
        <v>93.1</v>
      </c>
      <c r="J74" s="3">
        <v>94.7</v>
      </c>
      <c r="K74" s="7">
        <v>12.495044310000001</v>
      </c>
      <c r="L74" s="3">
        <v>0.64329366399999999</v>
      </c>
      <c r="M74" s="3">
        <v>93.797071990000006</v>
      </c>
      <c r="N74" s="3">
        <v>-0.73458033499999997</v>
      </c>
      <c r="O74" s="3">
        <v>3.0097791950000001</v>
      </c>
      <c r="P74" s="3">
        <v>2.819939E-3</v>
      </c>
      <c r="Q74" s="3">
        <v>-1.899803495</v>
      </c>
      <c r="R74">
        <v>0</v>
      </c>
      <c r="S74" t="b">
        <v>1</v>
      </c>
      <c r="T74" s="1">
        <v>45322.666666666664</v>
      </c>
      <c r="U74" s="1">
        <v>45338.666666666664</v>
      </c>
      <c r="V74" s="5">
        <f t="shared" si="17"/>
        <v>4.3835616438356165E-2</v>
      </c>
      <c r="W74">
        <v>3.7900000000000003E-2</v>
      </c>
      <c r="X74" s="4">
        <v>0.2</v>
      </c>
      <c r="Y74" s="5">
        <f t="shared" si="18"/>
        <v>-1.3101321760924956E-2</v>
      </c>
      <c r="Z74">
        <f t="shared" si="19"/>
        <v>5.7900000000000007E-2</v>
      </c>
      <c r="AA74" s="3">
        <f t="shared" si="20"/>
        <v>4.3835616438356165E-2</v>
      </c>
      <c r="AB74" s="3">
        <f t="shared" si="21"/>
        <v>4.1873913807217097E-2</v>
      </c>
      <c r="AC74" s="3">
        <f t="shared" si="22"/>
        <v>-0.25226301075595964</v>
      </c>
      <c r="AD74" s="3">
        <f t="shared" si="23"/>
        <v>0.4004188884360973</v>
      </c>
      <c r="AE74" s="3">
        <f t="shared" si="24"/>
        <v>0.5995811115639027</v>
      </c>
      <c r="AF74">
        <f t="shared" si="25"/>
        <v>1.7899999999999999E-2</v>
      </c>
      <c r="AG74" s="3">
        <f t="shared" si="26"/>
        <v>-0.29413692456317675</v>
      </c>
      <c r="AH74" s="3">
        <f t="shared" si="27"/>
        <v>0.38432663823750102</v>
      </c>
      <c r="AI74" s="3">
        <f t="shared" si="28"/>
        <v>0.61567336176249898</v>
      </c>
      <c r="AJ74" s="18" t="str">
        <f t="shared" si="29"/>
        <v>Put</v>
      </c>
      <c r="AK74" s="18">
        <f t="shared" si="30"/>
        <v>108.08111402116401</v>
      </c>
      <c r="AL74" s="3">
        <f t="shared" si="31"/>
        <v>108.08111402116401</v>
      </c>
      <c r="AM74" s="3">
        <f t="shared" si="32"/>
        <v>-0.25226301075595964</v>
      </c>
      <c r="AN74" s="3">
        <f t="shared" si="33"/>
        <v>-0.29413692456317675</v>
      </c>
    </row>
    <row r="75" spans="1:40" x14ac:dyDescent="0.25">
      <c r="A75" s="1">
        <v>45322.666666666664</v>
      </c>
      <c r="B75">
        <v>20240216</v>
      </c>
      <c r="C75">
        <v>4663.5</v>
      </c>
      <c r="D75">
        <v>4648.2287960000003</v>
      </c>
      <c r="E75" t="s">
        <v>42</v>
      </c>
      <c r="F75">
        <v>4750</v>
      </c>
      <c r="G75">
        <v>10</v>
      </c>
      <c r="H75" t="s">
        <v>41</v>
      </c>
      <c r="I75" s="3">
        <v>12.4</v>
      </c>
      <c r="J75" s="3">
        <v>12.8</v>
      </c>
      <c r="K75" s="7">
        <v>12.465173679999999</v>
      </c>
      <c r="L75" s="3">
        <v>0.64329366399999999</v>
      </c>
      <c r="M75" s="3">
        <v>12.48685</v>
      </c>
      <c r="N75" s="3">
        <v>0.19622900900000001</v>
      </c>
      <c r="O75" s="3">
        <v>2.5662014960000001</v>
      </c>
      <c r="P75" s="3">
        <v>2.3780250000000002E-3</v>
      </c>
      <c r="Q75" s="3">
        <v>-1.5944339759999999</v>
      </c>
      <c r="R75">
        <v>0</v>
      </c>
      <c r="S75" t="b">
        <v>1</v>
      </c>
      <c r="T75" s="1">
        <v>45322.666666666664</v>
      </c>
      <c r="U75" s="1">
        <v>45338.666666666664</v>
      </c>
      <c r="V75" s="5">
        <f t="shared" si="17"/>
        <v>4.3835616438356165E-2</v>
      </c>
      <c r="W75">
        <v>3.7900000000000003E-2</v>
      </c>
      <c r="X75" s="4">
        <v>0.2</v>
      </c>
      <c r="Y75" s="5">
        <f t="shared" si="18"/>
        <v>-1.8378378861768681E-2</v>
      </c>
      <c r="Z75">
        <f t="shared" si="19"/>
        <v>5.7900000000000007E-2</v>
      </c>
      <c r="AA75" s="3">
        <f t="shared" si="20"/>
        <v>4.3835616438356165E-2</v>
      </c>
      <c r="AB75" s="3">
        <f t="shared" si="21"/>
        <v>4.1873913807217097E-2</v>
      </c>
      <c r="AC75" s="3">
        <f t="shared" si="22"/>
        <v>-0.37828555369614714</v>
      </c>
      <c r="AD75" s="3">
        <f t="shared" si="23"/>
        <v>0.35260923798464328</v>
      </c>
      <c r="AE75" s="3">
        <f t="shared" si="24"/>
        <v>0.64739076201535672</v>
      </c>
      <c r="AF75">
        <f t="shared" si="25"/>
        <v>1.7899999999999999E-2</v>
      </c>
      <c r="AG75" s="3">
        <f t="shared" si="26"/>
        <v>-0.42015946750336419</v>
      </c>
      <c r="AH75" s="3">
        <f t="shared" si="27"/>
        <v>0.33718448127258099</v>
      </c>
      <c r="AI75" s="3">
        <f t="shared" si="28"/>
        <v>0.66281551872741895</v>
      </c>
      <c r="AJ75" s="18">
        <f t="shared" si="29"/>
        <v>45.425579799384877</v>
      </c>
      <c r="AK75" s="18" t="str">
        <f t="shared" si="30"/>
        <v>Call</v>
      </c>
      <c r="AL75" s="3">
        <f t="shared" si="31"/>
        <v>45.425579799384877</v>
      </c>
      <c r="AM75" s="3">
        <f t="shared" si="32"/>
        <v>-0.37828555369614714</v>
      </c>
      <c r="AN75" s="3">
        <f t="shared" si="33"/>
        <v>-0.42015946750336419</v>
      </c>
    </row>
    <row r="76" spans="1:40" x14ac:dyDescent="0.25">
      <c r="A76" s="1">
        <v>45322.666666666664</v>
      </c>
      <c r="B76">
        <v>20240216</v>
      </c>
      <c r="C76">
        <v>4663.5</v>
      </c>
      <c r="D76">
        <v>4648.2287960000003</v>
      </c>
      <c r="E76" t="s">
        <v>40</v>
      </c>
      <c r="F76">
        <v>4750</v>
      </c>
      <c r="G76">
        <v>10</v>
      </c>
      <c r="H76" t="s">
        <v>41</v>
      </c>
      <c r="I76" s="3">
        <v>112.3</v>
      </c>
      <c r="J76" s="3">
        <v>114</v>
      </c>
      <c r="K76" s="7">
        <v>12.465173679999999</v>
      </c>
      <c r="L76" s="3">
        <v>0.64329366399999999</v>
      </c>
      <c r="M76" s="3">
        <v>113.1489894</v>
      </c>
      <c r="N76" s="3">
        <v>-0.79894474599999998</v>
      </c>
      <c r="O76" s="3">
        <v>2.5662014960000001</v>
      </c>
      <c r="P76" s="3">
        <v>2.3780250000000002E-3</v>
      </c>
      <c r="Q76" s="3">
        <v>-1.5944339759999999</v>
      </c>
      <c r="R76">
        <v>0</v>
      </c>
      <c r="S76" t="b">
        <v>1</v>
      </c>
      <c r="T76" s="1">
        <v>45322.666666666664</v>
      </c>
      <c r="U76" s="1">
        <v>45338.666666666664</v>
      </c>
      <c r="V76" s="5">
        <f t="shared" si="17"/>
        <v>4.3835616438356165E-2</v>
      </c>
      <c r="W76">
        <v>3.7900000000000003E-2</v>
      </c>
      <c r="X76" s="4">
        <v>0.2</v>
      </c>
      <c r="Y76" s="5">
        <f t="shared" si="18"/>
        <v>-1.8378378861768681E-2</v>
      </c>
      <c r="Z76">
        <f t="shared" si="19"/>
        <v>5.7900000000000007E-2</v>
      </c>
      <c r="AA76" s="3">
        <f t="shared" si="20"/>
        <v>4.3835616438356165E-2</v>
      </c>
      <c r="AB76" s="3">
        <f t="shared" si="21"/>
        <v>4.1873913807217097E-2</v>
      </c>
      <c r="AC76" s="3">
        <f t="shared" si="22"/>
        <v>-0.37828555369614714</v>
      </c>
      <c r="AD76" s="3">
        <f t="shared" si="23"/>
        <v>0.35260923798464328</v>
      </c>
      <c r="AE76" s="3">
        <f t="shared" si="24"/>
        <v>0.64739076201535672</v>
      </c>
      <c r="AF76">
        <f t="shared" si="25"/>
        <v>1.7899999999999999E-2</v>
      </c>
      <c r="AG76" s="3">
        <f t="shared" si="26"/>
        <v>-0.42015946750336419</v>
      </c>
      <c r="AH76" s="3">
        <f t="shared" si="27"/>
        <v>0.33718448127258099</v>
      </c>
      <c r="AI76" s="3">
        <f t="shared" si="28"/>
        <v>0.66281551872741895</v>
      </c>
      <c r="AJ76" s="18" t="str">
        <f t="shared" si="29"/>
        <v>Put</v>
      </c>
      <c r="AK76" s="18">
        <f t="shared" si="30"/>
        <v>124.0406246771131</v>
      </c>
      <c r="AL76" s="3">
        <f t="shared" si="31"/>
        <v>124.0406246771131</v>
      </c>
      <c r="AM76" s="3">
        <f t="shared" si="32"/>
        <v>-0.37828555369614714</v>
      </c>
      <c r="AN76" s="3">
        <f t="shared" si="33"/>
        <v>-0.42015946750336419</v>
      </c>
    </row>
    <row r="77" spans="1:40" x14ac:dyDescent="0.25">
      <c r="A77" s="1">
        <v>45322.666666666664</v>
      </c>
      <c r="B77">
        <v>20240216</v>
      </c>
      <c r="C77">
        <v>4663.5</v>
      </c>
      <c r="D77">
        <v>4648.2287960000003</v>
      </c>
      <c r="E77" t="s">
        <v>42</v>
      </c>
      <c r="F77">
        <v>4775</v>
      </c>
      <c r="G77">
        <v>10</v>
      </c>
      <c r="H77" t="s">
        <v>41</v>
      </c>
      <c r="I77" s="3">
        <v>8.3000000000000007</v>
      </c>
      <c r="J77" s="3">
        <v>8.6999999999999993</v>
      </c>
      <c r="K77" s="7">
        <v>12.50033672</v>
      </c>
      <c r="L77" s="3">
        <v>0.64329366399999999</v>
      </c>
      <c r="M77" s="3">
        <v>8.4825640789999994</v>
      </c>
      <c r="N77" s="3">
        <v>0.14385741599999999</v>
      </c>
      <c r="O77" s="3">
        <v>2.1028059020000001</v>
      </c>
      <c r="P77" s="3">
        <v>1.900821E-3</v>
      </c>
      <c r="Q77" s="3">
        <v>-1.2816754319999999</v>
      </c>
      <c r="R77">
        <v>0</v>
      </c>
      <c r="S77" t="b">
        <v>1</v>
      </c>
      <c r="T77" s="1">
        <v>45322.666666666664</v>
      </c>
      <c r="U77" s="1">
        <v>45338.666666666664</v>
      </c>
      <c r="V77" s="5">
        <f t="shared" si="17"/>
        <v>4.3835616438356165E-2</v>
      </c>
      <c r="W77">
        <v>3.7900000000000003E-2</v>
      </c>
      <c r="X77" s="4">
        <v>0.2</v>
      </c>
      <c r="Y77" s="5">
        <f t="shared" si="18"/>
        <v>-2.3627734747912386E-2</v>
      </c>
      <c r="Z77">
        <f t="shared" si="19"/>
        <v>5.7900000000000007E-2</v>
      </c>
      <c r="AA77" s="3">
        <f t="shared" si="20"/>
        <v>4.3835616438356165E-2</v>
      </c>
      <c r="AB77" s="3">
        <f t="shared" si="21"/>
        <v>4.1873913807217097E-2</v>
      </c>
      <c r="AC77" s="3">
        <f t="shared" si="22"/>
        <v>-0.50364655793165192</v>
      </c>
      <c r="AD77" s="3">
        <f t="shared" si="23"/>
        <v>0.30725488463361411</v>
      </c>
      <c r="AE77" s="3">
        <f t="shared" si="24"/>
        <v>0.69274511536638594</v>
      </c>
      <c r="AF77">
        <f t="shared" si="25"/>
        <v>1.7899999999999999E-2</v>
      </c>
      <c r="AG77" s="3">
        <f t="shared" si="26"/>
        <v>-0.54552047173886897</v>
      </c>
      <c r="AH77" s="3">
        <f t="shared" si="27"/>
        <v>0.29269780231880338</v>
      </c>
      <c r="AI77" s="3">
        <f t="shared" si="28"/>
        <v>0.70730219768119662</v>
      </c>
      <c r="AJ77" s="18">
        <f t="shared" si="29"/>
        <v>37.571204341905968</v>
      </c>
      <c r="AK77" s="18" t="str">
        <f t="shared" si="30"/>
        <v>Call</v>
      </c>
      <c r="AL77" s="3">
        <f t="shared" si="31"/>
        <v>37.571204341905968</v>
      </c>
      <c r="AM77" s="3">
        <f t="shared" si="32"/>
        <v>-0.50364655793165192</v>
      </c>
      <c r="AN77" s="3">
        <f t="shared" si="33"/>
        <v>-0.54552047173886897</v>
      </c>
    </row>
    <row r="78" spans="1:40" x14ac:dyDescent="0.25">
      <c r="A78" s="1">
        <v>45322.666666666664</v>
      </c>
      <c r="B78">
        <v>20240216</v>
      </c>
      <c r="C78">
        <v>4663.5</v>
      </c>
      <c r="D78">
        <v>4648.2287960000003</v>
      </c>
      <c r="E78" t="s">
        <v>40</v>
      </c>
      <c r="F78">
        <v>4775</v>
      </c>
      <c r="G78">
        <v>10</v>
      </c>
      <c r="H78" t="s">
        <v>41</v>
      </c>
      <c r="I78" s="3">
        <v>133.1</v>
      </c>
      <c r="J78" s="3">
        <v>134.9</v>
      </c>
      <c r="K78" s="7">
        <v>12.50033672</v>
      </c>
      <c r="L78" s="3">
        <v>0.64329366399999999</v>
      </c>
      <c r="M78" s="3">
        <v>134.1007821</v>
      </c>
      <c r="N78" s="3">
        <v>-0.85131633900000003</v>
      </c>
      <c r="O78" s="3">
        <v>2.1028059020000001</v>
      </c>
      <c r="P78" s="3">
        <v>1.900821E-3</v>
      </c>
      <c r="Q78" s="3">
        <v>-1.2816754319999999</v>
      </c>
      <c r="R78">
        <v>0</v>
      </c>
      <c r="S78" t="b">
        <v>1</v>
      </c>
      <c r="T78" s="1">
        <v>45322.666666666664</v>
      </c>
      <c r="U78" s="1">
        <v>45338.666666666664</v>
      </c>
      <c r="V78" s="5">
        <f t="shared" si="17"/>
        <v>4.3835616438356165E-2</v>
      </c>
      <c r="W78">
        <v>3.7900000000000003E-2</v>
      </c>
      <c r="X78" s="4">
        <v>0.2</v>
      </c>
      <c r="Y78" s="5">
        <f t="shared" si="18"/>
        <v>-2.3627734747912386E-2</v>
      </c>
      <c r="Z78">
        <f t="shared" si="19"/>
        <v>5.7900000000000007E-2</v>
      </c>
      <c r="AA78" s="3">
        <f t="shared" si="20"/>
        <v>4.3835616438356165E-2</v>
      </c>
      <c r="AB78" s="3">
        <f t="shared" si="21"/>
        <v>4.1873913807217097E-2</v>
      </c>
      <c r="AC78" s="3">
        <f t="shared" si="22"/>
        <v>-0.50364655793165192</v>
      </c>
      <c r="AD78" s="3">
        <f t="shared" si="23"/>
        <v>0.30725488463361411</v>
      </c>
      <c r="AE78" s="3">
        <f t="shared" si="24"/>
        <v>0.69274511536638594</v>
      </c>
      <c r="AF78">
        <f t="shared" si="25"/>
        <v>1.7899999999999999E-2</v>
      </c>
      <c r="AG78" s="3">
        <f t="shared" si="26"/>
        <v>-0.54552047173886897</v>
      </c>
      <c r="AH78" s="3">
        <f t="shared" si="27"/>
        <v>0.29269780231880338</v>
      </c>
      <c r="AI78" s="3">
        <f t="shared" si="28"/>
        <v>0.70730219768119662</v>
      </c>
      <c r="AJ78" s="18" t="str">
        <f t="shared" si="29"/>
        <v>Put</v>
      </c>
      <c r="AK78" s="18">
        <f t="shared" si="30"/>
        <v>141.14474945583243</v>
      </c>
      <c r="AL78" s="3">
        <f t="shared" si="31"/>
        <v>141.14474945583243</v>
      </c>
      <c r="AM78" s="3">
        <f t="shared" si="32"/>
        <v>-0.50364655793165192</v>
      </c>
      <c r="AN78" s="3">
        <f t="shared" si="33"/>
        <v>-0.54552047173886897</v>
      </c>
    </row>
    <row r="79" spans="1:40" x14ac:dyDescent="0.25">
      <c r="A79" s="1">
        <v>45322.666666666664</v>
      </c>
      <c r="B79">
        <v>20240216</v>
      </c>
      <c r="C79">
        <v>4663.5</v>
      </c>
      <c r="D79">
        <v>4648.2287960000003</v>
      </c>
      <c r="E79" t="s">
        <v>42</v>
      </c>
      <c r="F79">
        <v>4800</v>
      </c>
      <c r="G79">
        <v>10</v>
      </c>
      <c r="H79" t="s">
        <v>41</v>
      </c>
      <c r="I79" s="3">
        <v>5.5</v>
      </c>
      <c r="J79" s="3">
        <v>5.9</v>
      </c>
      <c r="K79" s="7">
        <v>12.599516339999999</v>
      </c>
      <c r="L79" s="3">
        <v>0.64329366399999999</v>
      </c>
      <c r="M79" s="3">
        <v>5.7154668969999998</v>
      </c>
      <c r="N79" s="3">
        <v>0.103407244</v>
      </c>
      <c r="O79" s="3">
        <v>1.6684081239999999</v>
      </c>
      <c r="P79" s="3">
        <v>1.4481800000000001E-3</v>
      </c>
      <c r="Q79" s="3">
        <v>-0.99202761800000006</v>
      </c>
      <c r="R79">
        <v>0</v>
      </c>
      <c r="S79" t="b">
        <v>1</v>
      </c>
      <c r="T79" s="1">
        <v>45322.666666666664</v>
      </c>
      <c r="U79" s="1">
        <v>45338.666666666664</v>
      </c>
      <c r="V79" s="5">
        <f t="shared" si="17"/>
        <v>4.3835616438356165E-2</v>
      </c>
      <c r="W79">
        <v>3.7900000000000003E-2</v>
      </c>
      <c r="X79" s="4">
        <v>0.2</v>
      </c>
      <c r="Y79" s="5">
        <f t="shared" si="18"/>
        <v>-2.8849678729064108E-2</v>
      </c>
      <c r="Z79">
        <f t="shared" si="19"/>
        <v>5.7900000000000007E-2</v>
      </c>
      <c r="AA79" s="3">
        <f t="shared" si="20"/>
        <v>4.3835616438356165E-2</v>
      </c>
      <c r="AB79" s="3">
        <f t="shared" si="21"/>
        <v>4.1873913807217097E-2</v>
      </c>
      <c r="AC79" s="3">
        <f t="shared" si="22"/>
        <v>-0.62835293253023805</v>
      </c>
      <c r="AD79" s="3">
        <f t="shared" si="23"/>
        <v>0.2648863816021354</v>
      </c>
      <c r="AE79" s="3">
        <f t="shared" si="24"/>
        <v>0.7351136183978646</v>
      </c>
      <c r="AF79">
        <f t="shared" si="25"/>
        <v>1.7899999999999999E-2</v>
      </c>
      <c r="AG79" s="3">
        <f t="shared" si="26"/>
        <v>-0.67022684633745511</v>
      </c>
      <c r="AH79" s="3">
        <f t="shared" si="27"/>
        <v>0.25135659623784018</v>
      </c>
      <c r="AI79" s="3">
        <f t="shared" si="28"/>
        <v>0.74864340376215988</v>
      </c>
      <c r="AJ79" s="18">
        <f t="shared" si="29"/>
        <v>30.788776619695454</v>
      </c>
      <c r="AK79" s="18" t="str">
        <f t="shared" si="30"/>
        <v>Call</v>
      </c>
      <c r="AL79" s="3">
        <f t="shared" si="31"/>
        <v>30.788776619695454</v>
      </c>
      <c r="AM79" s="3">
        <f t="shared" si="32"/>
        <v>-0.62835293253023805</v>
      </c>
      <c r="AN79" s="3">
        <f t="shared" si="33"/>
        <v>-0.67022684633745511</v>
      </c>
    </row>
    <row r="80" spans="1:40" x14ac:dyDescent="0.25">
      <c r="A80" s="1">
        <v>45322.666666666664</v>
      </c>
      <c r="B80">
        <v>20240216</v>
      </c>
      <c r="C80">
        <v>4663.5</v>
      </c>
      <c r="D80">
        <v>4648.2287960000003</v>
      </c>
      <c r="E80" t="s">
        <v>40</v>
      </c>
      <c r="F80">
        <v>4800</v>
      </c>
      <c r="G80">
        <v>10</v>
      </c>
      <c r="H80" t="s">
        <v>41</v>
      </c>
      <c r="I80" s="3">
        <v>155.1</v>
      </c>
      <c r="J80" s="3">
        <v>157.1</v>
      </c>
      <c r="K80" s="7">
        <v>12.599516339999999</v>
      </c>
      <c r="L80" s="3">
        <v>0.64329366399999999</v>
      </c>
      <c r="M80" s="3">
        <v>156.28976359999999</v>
      </c>
      <c r="N80" s="3">
        <v>-0.89176650999999996</v>
      </c>
      <c r="O80" s="3">
        <v>1.6684081239999999</v>
      </c>
      <c r="P80" s="3">
        <v>1.4481800000000001E-3</v>
      </c>
      <c r="Q80" s="3">
        <v>-0.99202761800000006</v>
      </c>
      <c r="R80">
        <v>0</v>
      </c>
      <c r="S80" t="b">
        <v>1</v>
      </c>
      <c r="T80" s="1">
        <v>45322.666666666664</v>
      </c>
      <c r="U80" s="1">
        <v>45338.666666666664</v>
      </c>
      <c r="V80" s="5">
        <f t="shared" si="17"/>
        <v>4.3835616438356165E-2</v>
      </c>
      <c r="W80">
        <v>3.7900000000000003E-2</v>
      </c>
      <c r="X80" s="4">
        <v>0.2</v>
      </c>
      <c r="Y80" s="5">
        <f t="shared" si="18"/>
        <v>-2.8849678729064108E-2</v>
      </c>
      <c r="Z80">
        <f t="shared" si="19"/>
        <v>5.7900000000000007E-2</v>
      </c>
      <c r="AA80" s="3">
        <f t="shared" si="20"/>
        <v>4.3835616438356165E-2</v>
      </c>
      <c r="AB80" s="3">
        <f t="shared" si="21"/>
        <v>4.1873913807217097E-2</v>
      </c>
      <c r="AC80" s="3">
        <f t="shared" si="22"/>
        <v>-0.62835293253023805</v>
      </c>
      <c r="AD80" s="3">
        <f t="shared" si="23"/>
        <v>0.2648863816021354</v>
      </c>
      <c r="AE80" s="3">
        <f t="shared" si="24"/>
        <v>0.7351136183978646</v>
      </c>
      <c r="AF80">
        <f t="shared" si="25"/>
        <v>1.7899999999999999E-2</v>
      </c>
      <c r="AG80" s="3">
        <f t="shared" si="26"/>
        <v>-0.67022684633745511</v>
      </c>
      <c r="AH80" s="3">
        <f t="shared" si="27"/>
        <v>0.25135659623784018</v>
      </c>
      <c r="AI80" s="3">
        <f t="shared" si="28"/>
        <v>0.74864340376215988</v>
      </c>
      <c r="AJ80" s="18" t="str">
        <f t="shared" si="29"/>
        <v>Put</v>
      </c>
      <c r="AK80" s="18">
        <f t="shared" si="30"/>
        <v>159.32082196982128</v>
      </c>
      <c r="AL80" s="3">
        <f t="shared" si="31"/>
        <v>159.32082196982128</v>
      </c>
      <c r="AM80" s="3">
        <f t="shared" si="32"/>
        <v>-0.62835293253023805</v>
      </c>
      <c r="AN80" s="3">
        <f t="shared" si="33"/>
        <v>-0.67022684633745511</v>
      </c>
    </row>
    <row r="81" spans="1:40" x14ac:dyDescent="0.25">
      <c r="A81" s="1">
        <v>45322.666666666664</v>
      </c>
      <c r="B81">
        <v>20240216</v>
      </c>
      <c r="C81">
        <v>4663.5</v>
      </c>
      <c r="D81">
        <v>4648.2287960000003</v>
      </c>
      <c r="E81" t="s">
        <v>42</v>
      </c>
      <c r="F81">
        <v>4825</v>
      </c>
      <c r="G81">
        <v>10</v>
      </c>
      <c r="H81" t="s">
        <v>41</v>
      </c>
      <c r="I81" s="3">
        <v>3.6</v>
      </c>
      <c r="J81" s="3">
        <v>4</v>
      </c>
      <c r="K81" s="7">
        <v>12.761714769999999</v>
      </c>
      <c r="L81" s="3">
        <v>0.64329366399999999</v>
      </c>
      <c r="M81" s="3">
        <v>3.853436276</v>
      </c>
      <c r="N81" s="3">
        <v>7.3507539999999996E-2</v>
      </c>
      <c r="O81" s="3">
        <v>1.2935305479999999</v>
      </c>
      <c r="P81" s="3">
        <v>1.0600609999999999E-3</v>
      </c>
      <c r="Q81" s="3">
        <v>-0.74497594199999995</v>
      </c>
      <c r="R81">
        <v>0</v>
      </c>
      <c r="S81" t="b">
        <v>1</v>
      </c>
      <c r="T81" s="1">
        <v>45322.666666666664</v>
      </c>
      <c r="U81" s="1">
        <v>45338.666666666664</v>
      </c>
      <c r="V81" s="5">
        <f t="shared" si="17"/>
        <v>4.3835616438356165E-2</v>
      </c>
      <c r="W81">
        <v>3.7900000000000003E-2</v>
      </c>
      <c r="X81" s="4">
        <v>0.2</v>
      </c>
      <c r="Y81" s="5">
        <f t="shared" si="18"/>
        <v>-3.4044495606168082E-2</v>
      </c>
      <c r="Z81">
        <f t="shared" si="19"/>
        <v>5.7900000000000007E-2</v>
      </c>
      <c r="AA81" s="3">
        <f t="shared" si="20"/>
        <v>4.3835616438356165E-2</v>
      </c>
      <c r="AB81" s="3">
        <f t="shared" si="21"/>
        <v>4.1873913807217097E-2</v>
      </c>
      <c r="AC81" s="3">
        <f t="shared" si="22"/>
        <v>-0.75241147888490501</v>
      </c>
      <c r="AD81" s="3">
        <f t="shared" si="23"/>
        <v>0.22590182281875221</v>
      </c>
      <c r="AE81" s="3">
        <f t="shared" si="24"/>
        <v>0.77409817718124785</v>
      </c>
      <c r="AF81">
        <f t="shared" si="25"/>
        <v>1.7899999999999999E-2</v>
      </c>
      <c r="AG81" s="3">
        <f t="shared" si="26"/>
        <v>-0.79428539269212206</v>
      </c>
      <c r="AH81" s="3">
        <f t="shared" si="27"/>
        <v>0.2135146529320896</v>
      </c>
      <c r="AI81" s="3">
        <f t="shared" si="28"/>
        <v>0.7864853470679104</v>
      </c>
      <c r="AJ81" s="18">
        <f t="shared" si="29"/>
        <v>24.995086197229966</v>
      </c>
      <c r="AK81" s="18" t="str">
        <f t="shared" si="30"/>
        <v>Call</v>
      </c>
      <c r="AL81" s="3">
        <f t="shared" si="31"/>
        <v>24.995086197229966</v>
      </c>
      <c r="AM81" s="3">
        <f t="shared" si="32"/>
        <v>-0.75241147888490501</v>
      </c>
      <c r="AN81" s="3">
        <f t="shared" si="33"/>
        <v>-0.79428539269212206</v>
      </c>
    </row>
    <row r="82" spans="1:40" x14ac:dyDescent="0.25">
      <c r="A82" s="1">
        <v>45322.666666666664</v>
      </c>
      <c r="B82">
        <v>20240216</v>
      </c>
      <c r="C82">
        <v>4663.5</v>
      </c>
      <c r="D82">
        <v>4648.2287960000003</v>
      </c>
      <c r="E82" t="s">
        <v>40</v>
      </c>
      <c r="F82">
        <v>4825</v>
      </c>
      <c r="G82">
        <v>10</v>
      </c>
      <c r="H82" t="s">
        <v>41</v>
      </c>
      <c r="I82" s="3">
        <v>178.2</v>
      </c>
      <c r="J82" s="3">
        <v>180.2</v>
      </c>
      <c r="K82" s="7">
        <v>12.761714769999999</v>
      </c>
      <c r="L82" s="3">
        <v>0.64329366399999999</v>
      </c>
      <c r="M82" s="3">
        <v>179.3838116</v>
      </c>
      <c r="N82" s="3">
        <v>-0.92166621500000001</v>
      </c>
      <c r="O82" s="3">
        <v>1.2935305479999999</v>
      </c>
      <c r="P82" s="3">
        <v>1.0600609999999999E-3</v>
      </c>
      <c r="Q82" s="3">
        <v>-0.74497594199999995</v>
      </c>
      <c r="R82">
        <v>0</v>
      </c>
      <c r="S82" t="b">
        <v>1</v>
      </c>
      <c r="T82" s="1">
        <v>45322.666666666664</v>
      </c>
      <c r="U82" s="1">
        <v>45338.666666666664</v>
      </c>
      <c r="V82" s="5">
        <f t="shared" si="17"/>
        <v>4.3835616438356165E-2</v>
      </c>
      <c r="W82">
        <v>3.7900000000000003E-2</v>
      </c>
      <c r="X82" s="4">
        <v>0.2</v>
      </c>
      <c r="Y82" s="5">
        <f t="shared" si="18"/>
        <v>-3.4044495606168082E-2</v>
      </c>
      <c r="Z82">
        <f t="shared" si="19"/>
        <v>5.7900000000000007E-2</v>
      </c>
      <c r="AA82" s="3">
        <f t="shared" si="20"/>
        <v>4.3835616438356165E-2</v>
      </c>
      <c r="AB82" s="3">
        <f t="shared" si="21"/>
        <v>4.1873913807217097E-2</v>
      </c>
      <c r="AC82" s="3">
        <f t="shared" si="22"/>
        <v>-0.75241147888490501</v>
      </c>
      <c r="AD82" s="3">
        <f t="shared" si="23"/>
        <v>0.22590182281875221</v>
      </c>
      <c r="AE82" s="3">
        <f t="shared" si="24"/>
        <v>0.77409817718124785</v>
      </c>
      <c r="AF82">
        <f t="shared" si="25"/>
        <v>1.7899999999999999E-2</v>
      </c>
      <c r="AG82" s="3">
        <f t="shared" si="26"/>
        <v>-0.79428539269212206</v>
      </c>
      <c r="AH82" s="3">
        <f t="shared" si="27"/>
        <v>0.2135146529320896</v>
      </c>
      <c r="AI82" s="3">
        <f t="shared" si="28"/>
        <v>0.7864853470679104</v>
      </c>
      <c r="AJ82" s="18" t="str">
        <f t="shared" si="29"/>
        <v>Put</v>
      </c>
      <c r="AK82" s="18">
        <f t="shared" si="30"/>
        <v>178.48563178355425</v>
      </c>
      <c r="AL82" s="3">
        <f t="shared" si="31"/>
        <v>178.48563178355425</v>
      </c>
      <c r="AM82" s="3">
        <f t="shared" si="32"/>
        <v>-0.75241147888490501</v>
      </c>
      <c r="AN82" s="3">
        <f t="shared" si="33"/>
        <v>-0.79428539269212206</v>
      </c>
    </row>
    <row r="83" spans="1:40" x14ac:dyDescent="0.25">
      <c r="A83" s="1">
        <v>45322.666666666664</v>
      </c>
      <c r="B83">
        <v>20240216</v>
      </c>
      <c r="C83">
        <v>4663.5</v>
      </c>
      <c r="D83">
        <v>4648.2287960000003</v>
      </c>
      <c r="E83" t="s">
        <v>42</v>
      </c>
      <c r="F83">
        <v>4850</v>
      </c>
      <c r="G83">
        <v>10</v>
      </c>
      <c r="H83" t="s">
        <v>41</v>
      </c>
      <c r="I83" s="3">
        <v>2.4</v>
      </c>
      <c r="J83" s="3">
        <v>2.7</v>
      </c>
      <c r="K83" s="7">
        <v>12.987671560000001</v>
      </c>
      <c r="L83" s="3">
        <v>0.64329366399999999</v>
      </c>
      <c r="M83" s="3">
        <v>2.6252841039999999</v>
      </c>
      <c r="N83" s="3">
        <v>5.2178297999999998E-2</v>
      </c>
      <c r="O83" s="3">
        <v>0.99020850999999999</v>
      </c>
      <c r="P83" s="3">
        <v>7.5202299999999999E-4</v>
      </c>
      <c r="Q83" s="3">
        <v>-0.54737740000000001</v>
      </c>
      <c r="R83">
        <v>0</v>
      </c>
      <c r="S83" t="b">
        <v>1</v>
      </c>
      <c r="T83" s="1">
        <v>45322.666666666664</v>
      </c>
      <c r="U83" s="1">
        <v>45338.666666666664</v>
      </c>
      <c r="V83" s="5">
        <f t="shared" si="17"/>
        <v>4.3835616438356165E-2</v>
      </c>
      <c r="W83">
        <v>3.7900000000000003E-2</v>
      </c>
      <c r="X83" s="4">
        <v>0.2</v>
      </c>
      <c r="Y83" s="5">
        <f t="shared" si="18"/>
        <v>-3.9212465764610731E-2</v>
      </c>
      <c r="Z83">
        <f t="shared" si="19"/>
        <v>5.7900000000000007E-2</v>
      </c>
      <c r="AA83" s="3">
        <f t="shared" si="20"/>
        <v>4.3835616438356165E-2</v>
      </c>
      <c r="AB83" s="3">
        <f t="shared" si="21"/>
        <v>4.1873913807217097E-2</v>
      </c>
      <c r="AC83" s="3">
        <f t="shared" si="22"/>
        <v>-0.87582889293976063</v>
      </c>
      <c r="AD83" s="3">
        <f t="shared" si="23"/>
        <v>0.19056153016825891</v>
      </c>
      <c r="AE83" s="3">
        <f t="shared" si="24"/>
        <v>0.80943846983174106</v>
      </c>
      <c r="AF83">
        <f t="shared" si="25"/>
        <v>1.7899999999999999E-2</v>
      </c>
      <c r="AG83" s="3">
        <f t="shared" si="26"/>
        <v>-0.91770280674697768</v>
      </c>
      <c r="AH83" s="3">
        <f t="shared" si="27"/>
        <v>0.17938723892425484</v>
      </c>
      <c r="AI83" s="3">
        <f t="shared" si="28"/>
        <v>0.82061276107574521</v>
      </c>
      <c r="AJ83" s="18">
        <f t="shared" si="29"/>
        <v>20.099825597642734</v>
      </c>
      <c r="AK83" s="18" t="str">
        <f t="shared" si="30"/>
        <v>Call</v>
      </c>
      <c r="AL83" s="3">
        <f t="shared" si="31"/>
        <v>20.099825597642734</v>
      </c>
      <c r="AM83" s="3">
        <f t="shared" si="32"/>
        <v>-0.87582889293976063</v>
      </c>
      <c r="AN83" s="3">
        <f t="shared" si="33"/>
        <v>-0.91770280674697768</v>
      </c>
    </row>
    <row r="84" spans="1:40" x14ac:dyDescent="0.25">
      <c r="A84" s="1">
        <v>45322.666666666664</v>
      </c>
      <c r="B84">
        <v>20240216</v>
      </c>
      <c r="C84">
        <v>4663.5</v>
      </c>
      <c r="D84">
        <v>4648.2287960000003</v>
      </c>
      <c r="E84" t="s">
        <v>40</v>
      </c>
      <c r="F84">
        <v>4850</v>
      </c>
      <c r="G84">
        <v>10</v>
      </c>
      <c r="H84" t="s">
        <v>41</v>
      </c>
      <c r="I84" s="3">
        <v>201.9</v>
      </c>
      <c r="J84" s="3">
        <v>203.9</v>
      </c>
      <c r="K84" s="7">
        <v>12.987671560000001</v>
      </c>
      <c r="L84" s="3">
        <v>0.64329366399999999</v>
      </c>
      <c r="M84" s="3">
        <v>203.1117381</v>
      </c>
      <c r="N84" s="3">
        <v>-0.94299545699999998</v>
      </c>
      <c r="O84" s="3">
        <v>0.99020850999999999</v>
      </c>
      <c r="P84" s="3">
        <v>7.5202299999999999E-4</v>
      </c>
      <c r="Q84" s="3">
        <v>-0.54737740000000001</v>
      </c>
      <c r="R84">
        <v>0</v>
      </c>
      <c r="S84" t="b">
        <v>1</v>
      </c>
      <c r="T84" s="1">
        <v>45322.666666666664</v>
      </c>
      <c r="U84" s="1">
        <v>45338.666666666664</v>
      </c>
      <c r="V84" s="5">
        <f t="shared" si="17"/>
        <v>4.3835616438356165E-2</v>
      </c>
      <c r="W84">
        <v>3.7900000000000003E-2</v>
      </c>
      <c r="X84" s="4">
        <v>0.2</v>
      </c>
      <c r="Y84" s="5">
        <f t="shared" si="18"/>
        <v>-3.9212465764610731E-2</v>
      </c>
      <c r="Z84">
        <f t="shared" si="19"/>
        <v>5.7900000000000007E-2</v>
      </c>
      <c r="AA84" s="3">
        <f t="shared" si="20"/>
        <v>4.3835616438356165E-2</v>
      </c>
      <c r="AB84" s="3">
        <f t="shared" si="21"/>
        <v>4.1873913807217097E-2</v>
      </c>
      <c r="AC84" s="3">
        <f t="shared" si="22"/>
        <v>-0.87582889293976063</v>
      </c>
      <c r="AD84" s="3">
        <f t="shared" si="23"/>
        <v>0.19056153016825891</v>
      </c>
      <c r="AE84" s="3">
        <f t="shared" si="24"/>
        <v>0.80943846983174106</v>
      </c>
      <c r="AF84">
        <f t="shared" si="25"/>
        <v>1.7899999999999999E-2</v>
      </c>
      <c r="AG84" s="3">
        <f t="shared" si="26"/>
        <v>-0.91770280674697768</v>
      </c>
      <c r="AH84" s="3">
        <f t="shared" si="27"/>
        <v>0.17938723892425484</v>
      </c>
      <c r="AI84" s="3">
        <f t="shared" si="28"/>
        <v>0.82061276107574521</v>
      </c>
      <c r="AJ84" s="18" t="str">
        <f t="shared" si="29"/>
        <v>Put</v>
      </c>
      <c r="AK84" s="18">
        <f t="shared" si="30"/>
        <v>198.54887142016605</v>
      </c>
      <c r="AL84" s="3">
        <f t="shared" si="31"/>
        <v>198.54887142016605</v>
      </c>
      <c r="AM84" s="3">
        <f t="shared" si="32"/>
        <v>-0.87582889293976063</v>
      </c>
      <c r="AN84" s="3">
        <f t="shared" si="33"/>
        <v>-0.91770280674697768</v>
      </c>
    </row>
    <row r="85" spans="1:40" x14ac:dyDescent="0.25">
      <c r="A85" s="1">
        <v>45322.666666666664</v>
      </c>
      <c r="B85">
        <v>20240216</v>
      </c>
      <c r="C85">
        <v>4663.5</v>
      </c>
      <c r="D85">
        <v>4648.2287960000003</v>
      </c>
      <c r="E85" t="s">
        <v>42</v>
      </c>
      <c r="F85">
        <v>4875</v>
      </c>
      <c r="G85">
        <v>10</v>
      </c>
      <c r="H85" t="s">
        <v>41</v>
      </c>
      <c r="I85" s="3">
        <v>1.7</v>
      </c>
      <c r="J85" s="3">
        <v>1.9</v>
      </c>
      <c r="K85" s="7">
        <v>13.2781094</v>
      </c>
      <c r="L85" s="3">
        <v>0.64329366399999999</v>
      </c>
      <c r="M85" s="3">
        <v>1.824940851</v>
      </c>
      <c r="N85" s="3">
        <v>3.7352312999999998E-2</v>
      </c>
      <c r="O85" s="3">
        <v>0.75642984300000005</v>
      </c>
      <c r="P85" s="3">
        <v>5.2218000000000002E-4</v>
      </c>
      <c r="Q85" s="3">
        <v>-0.397270493</v>
      </c>
      <c r="R85">
        <v>0</v>
      </c>
      <c r="S85" t="b">
        <v>1</v>
      </c>
      <c r="T85" s="1">
        <v>45322.666666666664</v>
      </c>
      <c r="U85" s="1">
        <v>45338.666666666664</v>
      </c>
      <c r="V85" s="5">
        <f t="shared" si="17"/>
        <v>4.3835616438356165E-2</v>
      </c>
      <c r="W85">
        <v>3.7900000000000003E-2</v>
      </c>
      <c r="X85" s="4">
        <v>0.2</v>
      </c>
      <c r="Y85" s="5">
        <f t="shared" si="18"/>
        <v>-4.4353865265029324E-2</v>
      </c>
      <c r="Z85">
        <f t="shared" si="19"/>
        <v>5.7900000000000007E-2</v>
      </c>
      <c r="AA85" s="3">
        <f t="shared" si="20"/>
        <v>4.3835616438356165E-2</v>
      </c>
      <c r="AB85" s="3">
        <f t="shared" si="21"/>
        <v>4.1873913807217097E-2</v>
      </c>
      <c r="AC85" s="3">
        <f t="shared" si="22"/>
        <v>-0.99861176735864177</v>
      </c>
      <c r="AD85" s="3">
        <f t="shared" si="23"/>
        <v>0.15899139875117688</v>
      </c>
      <c r="AE85" s="3">
        <f t="shared" si="24"/>
        <v>0.84100860124882315</v>
      </c>
      <c r="AF85">
        <f t="shared" si="25"/>
        <v>1.7899999999999999E-2</v>
      </c>
      <c r="AG85" s="3">
        <f t="shared" si="26"/>
        <v>-1.0404856811658589</v>
      </c>
      <c r="AH85" s="3">
        <f t="shared" si="27"/>
        <v>0.14905715654427051</v>
      </c>
      <c r="AI85" s="3">
        <f t="shared" si="28"/>
        <v>0.85094284345572946</v>
      </c>
      <c r="AJ85" s="18">
        <f t="shared" si="29"/>
        <v>16.008988096747089</v>
      </c>
      <c r="AK85" s="18" t="str">
        <f t="shared" si="30"/>
        <v>Call</v>
      </c>
      <c r="AL85" s="3">
        <f t="shared" si="31"/>
        <v>16.008988096747089</v>
      </c>
      <c r="AM85" s="3">
        <f t="shared" si="32"/>
        <v>-0.99861176735864177</v>
      </c>
      <c r="AN85" s="3">
        <f t="shared" si="33"/>
        <v>-1.0404856811658589</v>
      </c>
    </row>
    <row r="86" spans="1:40" x14ac:dyDescent="0.25">
      <c r="A86" s="1">
        <v>45322.666666666664</v>
      </c>
      <c r="B86">
        <v>20240216</v>
      </c>
      <c r="C86">
        <v>4663.5</v>
      </c>
      <c r="D86">
        <v>4648.2287960000003</v>
      </c>
      <c r="E86" t="s">
        <v>40</v>
      </c>
      <c r="F86">
        <v>4875</v>
      </c>
      <c r="G86">
        <v>10</v>
      </c>
      <c r="H86" t="s">
        <v>41</v>
      </c>
      <c r="I86" s="3">
        <v>226</v>
      </c>
      <c r="J86" s="3">
        <v>228.1</v>
      </c>
      <c r="K86" s="7">
        <v>13.2781094</v>
      </c>
      <c r="L86" s="3">
        <v>0.64329366399999999</v>
      </c>
      <c r="M86" s="3">
        <v>227.26747349999999</v>
      </c>
      <c r="N86" s="3">
        <v>-0.957821441</v>
      </c>
      <c r="O86" s="3">
        <v>0.75642984300000005</v>
      </c>
      <c r="P86" s="3">
        <v>5.2218000000000002E-4</v>
      </c>
      <c r="Q86" s="3">
        <v>-0.397270493</v>
      </c>
      <c r="R86">
        <v>0</v>
      </c>
      <c r="S86" t="b">
        <v>1</v>
      </c>
      <c r="T86" s="1">
        <v>45322.666666666664</v>
      </c>
      <c r="U86" s="1">
        <v>45338.666666666664</v>
      </c>
      <c r="V86" s="5">
        <f t="shared" si="17"/>
        <v>4.3835616438356165E-2</v>
      </c>
      <c r="W86">
        <v>3.7900000000000003E-2</v>
      </c>
      <c r="X86" s="4">
        <v>0.2</v>
      </c>
      <c r="Y86" s="5">
        <f t="shared" si="18"/>
        <v>-4.4353865265029324E-2</v>
      </c>
      <c r="Z86">
        <f t="shared" si="19"/>
        <v>5.7900000000000007E-2</v>
      </c>
      <c r="AA86" s="3">
        <f t="shared" si="20"/>
        <v>4.3835616438356165E-2</v>
      </c>
      <c r="AB86" s="3">
        <f t="shared" si="21"/>
        <v>4.1873913807217097E-2</v>
      </c>
      <c r="AC86" s="3">
        <f t="shared" si="22"/>
        <v>-0.99861176735864177</v>
      </c>
      <c r="AD86" s="3">
        <f t="shared" si="23"/>
        <v>0.15899139875117688</v>
      </c>
      <c r="AE86" s="3">
        <f t="shared" si="24"/>
        <v>0.84100860124882315</v>
      </c>
      <c r="AF86">
        <f t="shared" si="25"/>
        <v>1.7899999999999999E-2</v>
      </c>
      <c r="AG86" s="3">
        <f t="shared" si="26"/>
        <v>-1.0404856811658589</v>
      </c>
      <c r="AH86" s="3">
        <f t="shared" si="27"/>
        <v>0.14905715654427051</v>
      </c>
      <c r="AI86" s="3">
        <f t="shared" si="28"/>
        <v>0.85094284345572946</v>
      </c>
      <c r="AJ86" s="18" t="str">
        <f t="shared" si="29"/>
        <v>Put</v>
      </c>
      <c r="AK86" s="18">
        <f t="shared" si="30"/>
        <v>219.41653415546898</v>
      </c>
      <c r="AL86" s="3">
        <f t="shared" si="31"/>
        <v>219.41653415546898</v>
      </c>
      <c r="AM86" s="3">
        <f t="shared" si="32"/>
        <v>-0.99861176735864177</v>
      </c>
      <c r="AN86" s="3">
        <f t="shared" si="33"/>
        <v>-1.0404856811658589</v>
      </c>
    </row>
    <row r="87" spans="1:40" x14ac:dyDescent="0.25">
      <c r="A87" s="1">
        <v>45322.666666666664</v>
      </c>
      <c r="B87">
        <v>20240216</v>
      </c>
      <c r="C87">
        <v>4663.5</v>
      </c>
      <c r="D87">
        <v>4648.2287960000003</v>
      </c>
      <c r="E87" t="s">
        <v>42</v>
      </c>
      <c r="F87">
        <v>4900</v>
      </c>
      <c r="G87">
        <v>10</v>
      </c>
      <c r="H87" t="s">
        <v>41</v>
      </c>
      <c r="I87" s="3">
        <v>1.2</v>
      </c>
      <c r="J87" s="3">
        <v>1.4</v>
      </c>
      <c r="K87" s="7">
        <v>13.632033740000001</v>
      </c>
      <c r="L87" s="3">
        <v>0.64329366399999999</v>
      </c>
      <c r="M87" s="3">
        <v>1.3049223510000001</v>
      </c>
      <c r="N87" s="3">
        <v>2.7202016999999998E-2</v>
      </c>
      <c r="O87" s="3">
        <v>0.58220022100000002</v>
      </c>
      <c r="P87" s="3">
        <v>3.58332E-4</v>
      </c>
      <c r="Q87" s="3">
        <v>-0.28734303100000003</v>
      </c>
      <c r="R87">
        <v>0</v>
      </c>
      <c r="S87" t="b">
        <v>1</v>
      </c>
      <c r="T87" s="1">
        <v>45322.666666666664</v>
      </c>
      <c r="U87" s="1">
        <v>45338.666666666664</v>
      </c>
      <c r="V87" s="5">
        <f t="shared" si="17"/>
        <v>4.3835616438356165E-2</v>
      </c>
      <c r="W87">
        <v>3.7900000000000003E-2</v>
      </c>
      <c r="X87" s="4">
        <v>0.2</v>
      </c>
      <c r="Y87" s="5">
        <f t="shared" si="18"/>
        <v>-4.9468965931799752E-2</v>
      </c>
      <c r="Z87">
        <f t="shared" si="19"/>
        <v>5.7900000000000007E-2</v>
      </c>
      <c r="AA87" s="3">
        <f t="shared" si="20"/>
        <v>4.3835616438356165E-2</v>
      </c>
      <c r="AB87" s="3">
        <f t="shared" si="21"/>
        <v>4.1873913807217097E-2</v>
      </c>
      <c r="AC87" s="3">
        <f t="shared" si="22"/>
        <v>-1.1207665936383107</v>
      </c>
      <c r="AD87" s="3">
        <f t="shared" si="23"/>
        <v>0.13119361370574933</v>
      </c>
      <c r="AE87" s="3">
        <f t="shared" si="24"/>
        <v>0.86880638629425067</v>
      </c>
      <c r="AF87">
        <f t="shared" si="25"/>
        <v>1.7899999999999999E-2</v>
      </c>
      <c r="AG87" s="3">
        <f t="shared" si="26"/>
        <v>-1.1626405074455277</v>
      </c>
      <c r="AH87" s="3">
        <f t="shared" si="27"/>
        <v>0.12248769429504634</v>
      </c>
      <c r="AI87" s="3">
        <f t="shared" si="28"/>
        <v>0.87751230570495364</v>
      </c>
      <c r="AJ87" s="18">
        <f t="shared" si="29"/>
        <v>12.628024705872804</v>
      </c>
      <c r="AK87" s="18" t="str">
        <f t="shared" si="30"/>
        <v>Call</v>
      </c>
      <c r="AL87" s="3">
        <f t="shared" si="31"/>
        <v>12.628024705872804</v>
      </c>
      <c r="AM87" s="3">
        <f t="shared" si="32"/>
        <v>-1.1207665936383107</v>
      </c>
      <c r="AN87" s="3">
        <f t="shared" si="33"/>
        <v>-1.1626405074455277</v>
      </c>
    </row>
    <row r="88" spans="1:40" x14ac:dyDescent="0.25">
      <c r="A88" s="1">
        <v>45322.666666666664</v>
      </c>
      <c r="B88">
        <v>20240216</v>
      </c>
      <c r="C88">
        <v>4663.5</v>
      </c>
      <c r="D88">
        <v>4648.2287960000003</v>
      </c>
      <c r="E88" t="s">
        <v>40</v>
      </c>
      <c r="F88">
        <v>4900</v>
      </c>
      <c r="G88">
        <v>10</v>
      </c>
      <c r="H88" t="s">
        <v>41</v>
      </c>
      <c r="I88" s="3">
        <v>250.5</v>
      </c>
      <c r="J88" s="3">
        <v>252.5</v>
      </c>
      <c r="K88" s="7">
        <v>13.632033740000001</v>
      </c>
      <c r="L88" s="3">
        <v>0.64329366399999999</v>
      </c>
      <c r="M88" s="3">
        <v>251.70353370000001</v>
      </c>
      <c r="N88" s="3">
        <v>-0.96797173700000005</v>
      </c>
      <c r="O88" s="3">
        <v>0.58220022100000002</v>
      </c>
      <c r="P88" s="3">
        <v>3.58332E-4</v>
      </c>
      <c r="Q88" s="3">
        <v>-0.28734303100000003</v>
      </c>
      <c r="R88">
        <v>0</v>
      </c>
      <c r="S88" t="b">
        <v>1</v>
      </c>
      <c r="T88" s="1">
        <v>45322.666666666664</v>
      </c>
      <c r="U88" s="1">
        <v>45338.666666666664</v>
      </c>
      <c r="V88" s="5">
        <f t="shared" si="17"/>
        <v>4.3835616438356165E-2</v>
      </c>
      <c r="W88">
        <v>3.7900000000000003E-2</v>
      </c>
      <c r="X88" s="4">
        <v>0.2</v>
      </c>
      <c r="Y88" s="5">
        <f t="shared" si="18"/>
        <v>-4.9468965931799752E-2</v>
      </c>
      <c r="Z88">
        <f t="shared" si="19"/>
        <v>5.7900000000000007E-2</v>
      </c>
      <c r="AA88" s="3">
        <f t="shared" si="20"/>
        <v>4.3835616438356165E-2</v>
      </c>
      <c r="AB88" s="3">
        <f t="shared" si="21"/>
        <v>4.1873913807217097E-2</v>
      </c>
      <c r="AC88" s="3">
        <f t="shared" si="22"/>
        <v>-1.1207665936383107</v>
      </c>
      <c r="AD88" s="3">
        <f t="shared" si="23"/>
        <v>0.13119361370574933</v>
      </c>
      <c r="AE88" s="3">
        <f t="shared" si="24"/>
        <v>0.86880638629425067</v>
      </c>
      <c r="AF88">
        <f t="shared" si="25"/>
        <v>1.7899999999999999E-2</v>
      </c>
      <c r="AG88" s="3">
        <f t="shared" si="26"/>
        <v>-1.1626405074455277</v>
      </c>
      <c r="AH88" s="3">
        <f t="shared" si="27"/>
        <v>0.12248769429504634</v>
      </c>
      <c r="AI88" s="3">
        <f t="shared" si="28"/>
        <v>0.87751230570495364</v>
      </c>
      <c r="AJ88" s="18" t="str">
        <f t="shared" si="29"/>
        <v>Put</v>
      </c>
      <c r="AK88" s="18">
        <f t="shared" si="30"/>
        <v>240.9940710007927</v>
      </c>
      <c r="AL88" s="3">
        <f t="shared" si="31"/>
        <v>240.9940710007927</v>
      </c>
      <c r="AM88" s="3">
        <f t="shared" si="32"/>
        <v>-1.1207665936383107</v>
      </c>
      <c r="AN88" s="3">
        <f t="shared" si="33"/>
        <v>-1.1626405074455277</v>
      </c>
    </row>
    <row r="89" spans="1:40" x14ac:dyDescent="0.25">
      <c r="A89" s="1">
        <v>45322.666666666664</v>
      </c>
      <c r="B89">
        <v>20240216</v>
      </c>
      <c r="C89">
        <v>4663.5</v>
      </c>
      <c r="D89">
        <v>4648.2287960000003</v>
      </c>
      <c r="E89" t="s">
        <v>42</v>
      </c>
      <c r="F89">
        <v>4925</v>
      </c>
      <c r="G89">
        <v>10</v>
      </c>
      <c r="H89" t="s">
        <v>41</v>
      </c>
      <c r="I89" s="3">
        <v>0.9</v>
      </c>
      <c r="J89" s="3">
        <v>1.1000000000000001</v>
      </c>
      <c r="K89" s="7">
        <v>14.04846858</v>
      </c>
      <c r="L89" s="3">
        <v>0.64329366399999999</v>
      </c>
      <c r="M89" s="3">
        <v>0.96607538000000004</v>
      </c>
      <c r="N89" s="3">
        <v>2.0300450000000001E-2</v>
      </c>
      <c r="O89" s="3">
        <v>0.455188325</v>
      </c>
      <c r="P89" s="3">
        <v>2.4731299999999998E-4</v>
      </c>
      <c r="Q89" s="3">
        <v>-0.21061966700000001</v>
      </c>
      <c r="R89">
        <v>0</v>
      </c>
      <c r="S89" t="b">
        <v>1</v>
      </c>
      <c r="T89" s="1">
        <v>45322.666666666664</v>
      </c>
      <c r="U89" s="1">
        <v>45338.666666666664</v>
      </c>
      <c r="V89" s="5">
        <f t="shared" si="17"/>
        <v>4.3835616438356165E-2</v>
      </c>
      <c r="W89">
        <v>3.7900000000000003E-2</v>
      </c>
      <c r="X89" s="4">
        <v>0.2</v>
      </c>
      <c r="Y89" s="5">
        <f t="shared" si="18"/>
        <v>-5.4558035439271062E-2</v>
      </c>
      <c r="Z89">
        <f t="shared" si="19"/>
        <v>5.7900000000000007E-2</v>
      </c>
      <c r="AA89" s="3">
        <f t="shared" si="20"/>
        <v>4.3835616438356165E-2</v>
      </c>
      <c r="AB89" s="3">
        <f t="shared" si="21"/>
        <v>4.1873913807217097E-2</v>
      </c>
      <c r="AC89" s="3">
        <f t="shared" si="22"/>
        <v>-1.2422997641678395</v>
      </c>
      <c r="AD89" s="3">
        <f t="shared" si="23"/>
        <v>0.10706299117350244</v>
      </c>
      <c r="AE89" s="3">
        <f t="shared" si="24"/>
        <v>0.89293700882649751</v>
      </c>
      <c r="AF89">
        <f t="shared" si="25"/>
        <v>1.7899999999999999E-2</v>
      </c>
      <c r="AG89" s="3">
        <f t="shared" si="26"/>
        <v>-1.2841736779750565</v>
      </c>
      <c r="AH89" s="3">
        <f t="shared" si="27"/>
        <v>9.9540596484917351E-2</v>
      </c>
      <c r="AI89" s="3">
        <f t="shared" si="28"/>
        <v>0.90045940351508269</v>
      </c>
      <c r="AJ89" s="18">
        <f t="shared" si="29"/>
        <v>9.8646111642378287</v>
      </c>
      <c r="AK89" s="18" t="str">
        <f t="shared" si="30"/>
        <v>Call</v>
      </c>
      <c r="AL89" s="3">
        <f t="shared" si="31"/>
        <v>9.8646111642378287</v>
      </c>
      <c r="AM89" s="3">
        <f t="shared" si="32"/>
        <v>-1.2422997641678395</v>
      </c>
      <c r="AN89" s="3">
        <f t="shared" si="33"/>
        <v>-1.2841736779750565</v>
      </c>
    </row>
    <row r="90" spans="1:40" x14ac:dyDescent="0.25">
      <c r="A90" s="1">
        <v>45322.666666666664</v>
      </c>
      <c r="B90">
        <v>20240216</v>
      </c>
      <c r="C90">
        <v>4663.5</v>
      </c>
      <c r="D90">
        <v>4648.2287960000003</v>
      </c>
      <c r="E90" t="s">
        <v>40</v>
      </c>
      <c r="F90">
        <v>4925</v>
      </c>
      <c r="G90">
        <v>10</v>
      </c>
      <c r="H90" t="s">
        <v>41</v>
      </c>
      <c r="I90" s="3">
        <v>275.10000000000002</v>
      </c>
      <c r="J90" s="3">
        <v>277.10000000000002</v>
      </c>
      <c r="K90" s="7">
        <v>14.04846858</v>
      </c>
      <c r="L90" s="3">
        <v>0.64329366399999999</v>
      </c>
      <c r="M90" s="3">
        <v>276.32076530000001</v>
      </c>
      <c r="N90" s="3">
        <v>-0.97487330500000002</v>
      </c>
      <c r="O90" s="3">
        <v>0.455188325</v>
      </c>
      <c r="P90" s="3">
        <v>2.4731299999999998E-4</v>
      </c>
      <c r="Q90" s="3">
        <v>-0.21061966700000001</v>
      </c>
      <c r="R90">
        <v>0</v>
      </c>
      <c r="S90" t="b">
        <v>1</v>
      </c>
      <c r="T90" s="1">
        <v>45322.666666666664</v>
      </c>
      <c r="U90" s="1">
        <v>45338.666666666664</v>
      </c>
      <c r="V90" s="5">
        <f t="shared" si="17"/>
        <v>4.3835616438356165E-2</v>
      </c>
      <c r="W90">
        <v>3.7900000000000003E-2</v>
      </c>
      <c r="X90" s="4">
        <v>0.2</v>
      </c>
      <c r="Y90" s="5">
        <f t="shared" si="18"/>
        <v>-5.4558035439271062E-2</v>
      </c>
      <c r="Z90">
        <f t="shared" si="19"/>
        <v>5.7900000000000007E-2</v>
      </c>
      <c r="AA90" s="3">
        <f t="shared" si="20"/>
        <v>4.3835616438356165E-2</v>
      </c>
      <c r="AB90" s="3">
        <f t="shared" si="21"/>
        <v>4.1873913807217097E-2</v>
      </c>
      <c r="AC90" s="3">
        <f t="shared" si="22"/>
        <v>-1.2422997641678395</v>
      </c>
      <c r="AD90" s="3">
        <f t="shared" si="23"/>
        <v>0.10706299117350244</v>
      </c>
      <c r="AE90" s="3">
        <f t="shared" si="24"/>
        <v>0.89293700882649751</v>
      </c>
      <c r="AF90">
        <f t="shared" si="25"/>
        <v>1.7899999999999999E-2</v>
      </c>
      <c r="AG90" s="3">
        <f t="shared" si="26"/>
        <v>-1.2841736779750565</v>
      </c>
      <c r="AH90" s="3">
        <f t="shared" si="27"/>
        <v>9.9540596484917351E-2</v>
      </c>
      <c r="AI90" s="3">
        <f t="shared" si="28"/>
        <v>0.90045940351508269</v>
      </c>
      <c r="AJ90" s="18" t="str">
        <f t="shared" si="29"/>
        <v>Put</v>
      </c>
      <c r="AK90" s="18">
        <f t="shared" si="30"/>
        <v>263.1891576953567</v>
      </c>
      <c r="AL90" s="3">
        <f t="shared" si="31"/>
        <v>263.1891576953567</v>
      </c>
      <c r="AM90" s="3">
        <f t="shared" si="32"/>
        <v>-1.2422997641678395</v>
      </c>
      <c r="AN90" s="3">
        <f t="shared" si="33"/>
        <v>-1.2841736779750565</v>
      </c>
    </row>
    <row r="91" spans="1:40" x14ac:dyDescent="0.25">
      <c r="A91" s="1">
        <v>45322.666666666664</v>
      </c>
      <c r="B91">
        <v>20240216</v>
      </c>
      <c r="C91">
        <v>4663.5</v>
      </c>
      <c r="D91">
        <v>4648.2287960000003</v>
      </c>
      <c r="E91" t="s">
        <v>42</v>
      </c>
      <c r="F91">
        <v>4950</v>
      </c>
      <c r="G91">
        <v>10</v>
      </c>
      <c r="H91" t="s">
        <v>41</v>
      </c>
      <c r="I91" s="3">
        <v>0.6</v>
      </c>
      <c r="J91" s="3">
        <v>0.9</v>
      </c>
      <c r="K91" s="7">
        <v>14.506366140000001</v>
      </c>
      <c r="L91" s="3">
        <v>0.64329366399999999</v>
      </c>
      <c r="M91" s="3">
        <v>0.73666079699999998</v>
      </c>
      <c r="N91" s="3">
        <v>1.5492924E-2</v>
      </c>
      <c r="O91" s="3">
        <v>0.36147293200000002</v>
      </c>
      <c r="P91" s="3">
        <v>1.75563E-4</v>
      </c>
      <c r="Q91" s="3">
        <v>-0.15942010500000001</v>
      </c>
      <c r="R91">
        <v>0</v>
      </c>
      <c r="S91" t="b">
        <v>1</v>
      </c>
      <c r="T91" s="1">
        <v>45322.666666666664</v>
      </c>
      <c r="U91" s="1">
        <v>45338.666666666664</v>
      </c>
      <c r="V91" s="5">
        <f t="shared" si="17"/>
        <v>4.3835616438356165E-2</v>
      </c>
      <c r="W91">
        <v>3.7900000000000003E-2</v>
      </c>
      <c r="X91" s="4">
        <v>0.2</v>
      </c>
      <c r="Y91" s="5">
        <f t="shared" si="18"/>
        <v>-5.9621337395817778E-2</v>
      </c>
      <c r="Z91">
        <f t="shared" si="19"/>
        <v>5.7900000000000007E-2</v>
      </c>
      <c r="AA91" s="3">
        <f t="shared" si="20"/>
        <v>4.3835616438356165E-2</v>
      </c>
      <c r="AB91" s="3">
        <f t="shared" si="21"/>
        <v>4.1873913807217097E-2</v>
      </c>
      <c r="AC91" s="3">
        <f t="shared" si="22"/>
        <v>-1.3632175742358834</v>
      </c>
      <c r="AD91" s="3">
        <f t="shared" si="23"/>
        <v>8.6406975076299741E-2</v>
      </c>
      <c r="AE91" s="3">
        <f t="shared" si="24"/>
        <v>0.91359302492370031</v>
      </c>
      <c r="AF91">
        <f t="shared" si="25"/>
        <v>1.7899999999999999E-2</v>
      </c>
      <c r="AG91" s="3">
        <f t="shared" si="26"/>
        <v>-1.4050914880431005</v>
      </c>
      <c r="AH91" s="3">
        <f t="shared" si="27"/>
        <v>7.9997037460543124E-2</v>
      </c>
      <c r="AI91" s="3">
        <f t="shared" si="28"/>
        <v>0.9200029625394569</v>
      </c>
      <c r="AJ91" s="18">
        <f t="shared" si="29"/>
        <v>7.6309247542018284</v>
      </c>
      <c r="AK91" s="18" t="str">
        <f t="shared" si="30"/>
        <v>Call</v>
      </c>
      <c r="AL91" s="3">
        <f t="shared" si="31"/>
        <v>7.6309247542018284</v>
      </c>
      <c r="AM91" s="3">
        <f t="shared" si="32"/>
        <v>-1.3632175742358834</v>
      </c>
      <c r="AN91" s="3">
        <f t="shared" si="33"/>
        <v>-1.4050914880431005</v>
      </c>
    </row>
    <row r="92" spans="1:40" x14ac:dyDescent="0.25">
      <c r="A92" s="1">
        <v>45322.666666666664</v>
      </c>
      <c r="B92">
        <v>20240216</v>
      </c>
      <c r="C92">
        <v>4663.5</v>
      </c>
      <c r="D92">
        <v>4648.2287960000003</v>
      </c>
      <c r="E92" t="s">
        <v>40</v>
      </c>
      <c r="F92">
        <v>4950</v>
      </c>
      <c r="G92">
        <v>10</v>
      </c>
      <c r="H92" t="s">
        <v>41</v>
      </c>
      <c r="I92" s="3">
        <v>299.89999999999998</v>
      </c>
      <c r="J92" s="3">
        <v>302</v>
      </c>
      <c r="K92" s="7">
        <v>14.506366140000001</v>
      </c>
      <c r="L92" s="3">
        <v>0.64329366399999999</v>
      </c>
      <c r="M92" s="3">
        <v>301.0474294</v>
      </c>
      <c r="N92" s="3">
        <v>-0.97968083100000003</v>
      </c>
      <c r="O92" s="3">
        <v>0.36147293200000002</v>
      </c>
      <c r="P92" s="3">
        <v>1.75563E-4</v>
      </c>
      <c r="Q92" s="3">
        <v>-0.15942010500000001</v>
      </c>
      <c r="R92">
        <v>0</v>
      </c>
      <c r="S92" t="b">
        <v>1</v>
      </c>
      <c r="T92" s="1">
        <v>45322.666666666664</v>
      </c>
      <c r="U92" s="1">
        <v>45338.666666666664</v>
      </c>
      <c r="V92" s="5">
        <f t="shared" si="17"/>
        <v>4.3835616438356165E-2</v>
      </c>
      <c r="W92">
        <v>3.7900000000000003E-2</v>
      </c>
      <c r="X92" s="4">
        <v>0.2</v>
      </c>
      <c r="Y92" s="5">
        <f t="shared" si="18"/>
        <v>-5.9621337395817778E-2</v>
      </c>
      <c r="Z92">
        <f t="shared" si="19"/>
        <v>5.7900000000000007E-2</v>
      </c>
      <c r="AA92" s="3">
        <f t="shared" si="20"/>
        <v>4.3835616438356165E-2</v>
      </c>
      <c r="AB92" s="3">
        <f t="shared" si="21"/>
        <v>4.1873913807217097E-2</v>
      </c>
      <c r="AC92" s="3">
        <f t="shared" si="22"/>
        <v>-1.3632175742358834</v>
      </c>
      <c r="AD92" s="3">
        <f t="shared" si="23"/>
        <v>8.6406975076299741E-2</v>
      </c>
      <c r="AE92" s="3">
        <f t="shared" si="24"/>
        <v>0.91359302492370031</v>
      </c>
      <c r="AF92">
        <f t="shared" si="25"/>
        <v>1.7899999999999999E-2</v>
      </c>
      <c r="AG92" s="3">
        <f t="shared" si="26"/>
        <v>-1.4050914880431005</v>
      </c>
      <c r="AH92" s="3">
        <f t="shared" si="27"/>
        <v>7.9997037460543124E-2</v>
      </c>
      <c r="AI92" s="3">
        <f t="shared" si="28"/>
        <v>0.9200029625394569</v>
      </c>
      <c r="AJ92" s="18" t="str">
        <f t="shared" si="29"/>
        <v>Put</v>
      </c>
      <c r="AK92" s="18">
        <f t="shared" si="30"/>
        <v>285.91397152151967</v>
      </c>
      <c r="AL92" s="3">
        <f t="shared" si="31"/>
        <v>285.91397152151967</v>
      </c>
      <c r="AM92" s="3">
        <f t="shared" si="32"/>
        <v>-1.3632175742358834</v>
      </c>
      <c r="AN92" s="3">
        <f t="shared" si="33"/>
        <v>-1.4050914880431005</v>
      </c>
    </row>
    <row r="93" spans="1:40" x14ac:dyDescent="0.25">
      <c r="A93" s="1">
        <v>45322.666666666664</v>
      </c>
      <c r="B93">
        <v>20240216</v>
      </c>
      <c r="C93">
        <v>4663.5</v>
      </c>
      <c r="D93">
        <v>4648.2287960000003</v>
      </c>
      <c r="E93" t="s">
        <v>42</v>
      </c>
      <c r="F93">
        <v>4975</v>
      </c>
      <c r="G93">
        <v>10</v>
      </c>
      <c r="H93" t="s">
        <v>41</v>
      </c>
      <c r="I93" s="3">
        <v>0.5</v>
      </c>
      <c r="J93" s="3">
        <v>0.7</v>
      </c>
      <c r="K93" s="7">
        <v>14.985100689999999</v>
      </c>
      <c r="L93" s="3">
        <v>0.64329366399999999</v>
      </c>
      <c r="M93" s="3">
        <v>0.57396241800000003</v>
      </c>
      <c r="N93" s="3">
        <v>1.203038E-2</v>
      </c>
      <c r="O93" s="3">
        <v>0.29060911</v>
      </c>
      <c r="P93" s="3">
        <v>1.27546E-4</v>
      </c>
      <c r="Q93" s="3">
        <v>-0.12358854800000001</v>
      </c>
      <c r="R93">
        <v>0</v>
      </c>
      <c r="S93" t="b">
        <v>1</v>
      </c>
      <c r="T93" s="1">
        <v>45322.666666666664</v>
      </c>
      <c r="U93" s="1">
        <v>45338.666666666664</v>
      </c>
      <c r="V93" s="5">
        <f t="shared" si="17"/>
        <v>4.3835616438356165E-2</v>
      </c>
      <c r="W93">
        <v>3.7900000000000003E-2</v>
      </c>
      <c r="X93" s="4">
        <v>0.2</v>
      </c>
      <c r="Y93" s="5">
        <f t="shared" si="18"/>
        <v>-6.465913142577491E-2</v>
      </c>
      <c r="Z93">
        <f t="shared" si="19"/>
        <v>5.7900000000000007E-2</v>
      </c>
      <c r="AA93" s="3">
        <f t="shared" si="20"/>
        <v>4.3835616438356165E-2</v>
      </c>
      <c r="AB93" s="3">
        <f t="shared" si="21"/>
        <v>4.1873913807217097E-2</v>
      </c>
      <c r="AC93" s="3">
        <f t="shared" si="22"/>
        <v>-1.483526223987387</v>
      </c>
      <c r="AD93" s="3">
        <f t="shared" si="23"/>
        <v>6.8967327186810229E-2</v>
      </c>
      <c r="AE93" s="3">
        <f t="shared" si="24"/>
        <v>0.9310326728131898</v>
      </c>
      <c r="AF93">
        <f t="shared" si="25"/>
        <v>1.7899999999999999E-2</v>
      </c>
      <c r="AG93" s="3">
        <f t="shared" si="26"/>
        <v>-1.5254001377946043</v>
      </c>
      <c r="AH93" s="3">
        <f t="shared" si="27"/>
        <v>6.3579662209315629E-2</v>
      </c>
      <c r="AI93" s="3">
        <f t="shared" si="28"/>
        <v>0.93642033779068434</v>
      </c>
      <c r="AJ93" s="18">
        <f t="shared" si="29"/>
        <v>5.8453804962322238</v>
      </c>
      <c r="AK93" s="18" t="str">
        <f t="shared" si="30"/>
        <v>Call</v>
      </c>
      <c r="AL93" s="3">
        <f t="shared" si="31"/>
        <v>5.8453804962322238</v>
      </c>
      <c r="AM93" s="3">
        <f t="shared" si="32"/>
        <v>-1.483526223987387</v>
      </c>
      <c r="AN93" s="3">
        <f t="shared" si="33"/>
        <v>-1.5254001377946043</v>
      </c>
    </row>
    <row r="94" spans="1:40" x14ac:dyDescent="0.25">
      <c r="A94" s="1">
        <v>45322.666666666664</v>
      </c>
      <c r="B94">
        <v>20240216</v>
      </c>
      <c r="C94">
        <v>4663.5</v>
      </c>
      <c r="D94">
        <v>4648.2287960000003</v>
      </c>
      <c r="E94" t="s">
        <v>40</v>
      </c>
      <c r="F94">
        <v>4975</v>
      </c>
      <c r="G94">
        <v>10</v>
      </c>
      <c r="H94" t="s">
        <v>41</v>
      </c>
      <c r="I94" s="3">
        <v>324.7</v>
      </c>
      <c r="J94" s="3">
        <v>326.8</v>
      </c>
      <c r="K94" s="7">
        <v>14.985100689999999</v>
      </c>
      <c r="L94" s="3">
        <v>0.64329366399999999</v>
      </c>
      <c r="M94" s="3">
        <v>325.84080970000002</v>
      </c>
      <c r="N94" s="3">
        <v>-0.98314337500000004</v>
      </c>
      <c r="O94" s="3">
        <v>0.29060911</v>
      </c>
      <c r="P94" s="3">
        <v>1.27546E-4</v>
      </c>
      <c r="Q94" s="3">
        <v>-0.12358854800000001</v>
      </c>
      <c r="R94">
        <v>0</v>
      </c>
      <c r="S94" t="b">
        <v>1</v>
      </c>
      <c r="T94" s="1">
        <v>45322.666666666664</v>
      </c>
      <c r="U94" s="1">
        <v>45338.666666666664</v>
      </c>
      <c r="V94" s="5">
        <f t="shared" si="17"/>
        <v>4.3835616438356165E-2</v>
      </c>
      <c r="W94">
        <v>3.7900000000000003E-2</v>
      </c>
      <c r="X94" s="4">
        <v>0.2</v>
      </c>
      <c r="Y94" s="5">
        <f t="shared" si="18"/>
        <v>-6.465913142577491E-2</v>
      </c>
      <c r="Z94">
        <f t="shared" si="19"/>
        <v>5.7900000000000007E-2</v>
      </c>
      <c r="AA94" s="3">
        <f t="shared" si="20"/>
        <v>4.3835616438356165E-2</v>
      </c>
      <c r="AB94" s="3">
        <f t="shared" si="21"/>
        <v>4.1873913807217097E-2</v>
      </c>
      <c r="AC94" s="3">
        <f t="shared" si="22"/>
        <v>-1.483526223987387</v>
      </c>
      <c r="AD94" s="3">
        <f t="shared" si="23"/>
        <v>6.8967327186810229E-2</v>
      </c>
      <c r="AE94" s="3">
        <f t="shared" si="24"/>
        <v>0.9310326728131898</v>
      </c>
      <c r="AF94">
        <f t="shared" si="25"/>
        <v>1.7899999999999999E-2</v>
      </c>
      <c r="AG94" s="3">
        <f t="shared" si="26"/>
        <v>-1.5254001377946043</v>
      </c>
      <c r="AH94" s="3">
        <f t="shared" si="27"/>
        <v>6.3579662209315629E-2</v>
      </c>
      <c r="AI94" s="3">
        <f t="shared" si="28"/>
        <v>0.93642033779068434</v>
      </c>
      <c r="AJ94" s="18" t="str">
        <f t="shared" si="29"/>
        <v>Put</v>
      </c>
      <c r="AK94" s="18">
        <f t="shared" si="30"/>
        <v>309.08692749974762</v>
      </c>
      <c r="AL94" s="3">
        <f t="shared" si="31"/>
        <v>309.08692749974762</v>
      </c>
      <c r="AM94" s="3">
        <f t="shared" si="32"/>
        <v>-1.483526223987387</v>
      </c>
      <c r="AN94" s="3">
        <f t="shared" si="33"/>
        <v>-1.5254001377946043</v>
      </c>
    </row>
    <row r="95" spans="1:40" x14ac:dyDescent="0.25">
      <c r="A95" s="1">
        <v>45322.666666666664</v>
      </c>
      <c r="B95">
        <v>20240216</v>
      </c>
      <c r="C95">
        <v>4663.5</v>
      </c>
      <c r="D95">
        <v>4648.2287960000003</v>
      </c>
      <c r="E95" t="s">
        <v>42</v>
      </c>
      <c r="F95">
        <v>5000</v>
      </c>
      <c r="G95">
        <v>10</v>
      </c>
      <c r="H95" t="s">
        <v>41</v>
      </c>
      <c r="I95" s="3">
        <v>0.4</v>
      </c>
      <c r="J95" s="3">
        <v>0.6</v>
      </c>
      <c r="K95" s="7">
        <v>15.48434761</v>
      </c>
      <c r="L95" s="3">
        <v>0.64329366399999999</v>
      </c>
      <c r="M95" s="3">
        <v>0.45720339999999998</v>
      </c>
      <c r="N95" s="3">
        <v>9.5149450000000003E-3</v>
      </c>
      <c r="O95" s="3">
        <v>0.23692753799999999</v>
      </c>
      <c r="P95" s="10">
        <v>9.35103803474015E-5</v>
      </c>
      <c r="Q95" s="3">
        <v>-9.6747348999999996E-2</v>
      </c>
      <c r="R95">
        <v>0</v>
      </c>
      <c r="S95" t="b">
        <v>1</v>
      </c>
      <c r="T95" s="1">
        <v>45322.666666666664</v>
      </c>
      <c r="U95" s="1">
        <v>45338.666666666664</v>
      </c>
      <c r="V95" s="5">
        <f t="shared" si="17"/>
        <v>4.3835616438356165E-2</v>
      </c>
      <c r="W95">
        <v>3.7900000000000003E-2</v>
      </c>
      <c r="X95" s="4">
        <v>0.2</v>
      </c>
      <c r="Y95" s="5">
        <f t="shared" si="18"/>
        <v>-6.9671673249319263E-2</v>
      </c>
      <c r="Z95">
        <f t="shared" si="19"/>
        <v>5.7900000000000007E-2</v>
      </c>
      <c r="AA95" s="3">
        <f t="shared" si="20"/>
        <v>4.3835616438356165E-2</v>
      </c>
      <c r="AB95" s="3">
        <f t="shared" si="21"/>
        <v>4.1873913807217097E-2</v>
      </c>
      <c r="AC95" s="3">
        <f t="shared" si="22"/>
        <v>-1.6032318203312479</v>
      </c>
      <c r="AD95" s="3">
        <f t="shared" si="23"/>
        <v>5.4441741341606058E-2</v>
      </c>
      <c r="AE95" s="3">
        <f t="shared" si="24"/>
        <v>0.94555825865839394</v>
      </c>
      <c r="AF95">
        <f t="shared" si="25"/>
        <v>1.7899999999999999E-2</v>
      </c>
      <c r="AG95" s="3">
        <f t="shared" si="26"/>
        <v>-1.6451057341384649</v>
      </c>
      <c r="AH95" s="3">
        <f t="shared" si="27"/>
        <v>4.9974004154445334E-2</v>
      </c>
      <c r="AI95" s="3">
        <f t="shared" si="28"/>
        <v>0.95002599584555469</v>
      </c>
      <c r="AJ95" s="18">
        <f t="shared" si="29"/>
        <v>4.4338218480774003</v>
      </c>
      <c r="AK95" s="18" t="str">
        <f t="shared" si="30"/>
        <v>Call</v>
      </c>
      <c r="AL95" s="3">
        <f t="shared" si="31"/>
        <v>4.4338218480774003</v>
      </c>
      <c r="AM95" s="3">
        <f t="shared" si="32"/>
        <v>-1.6032318203312479</v>
      </c>
      <c r="AN95" s="3">
        <f t="shared" si="33"/>
        <v>-1.6451057341384649</v>
      </c>
    </row>
    <row r="96" spans="1:40" x14ac:dyDescent="0.25">
      <c r="A96" s="1">
        <v>45322.666666666664</v>
      </c>
      <c r="B96">
        <v>20240216</v>
      </c>
      <c r="C96">
        <v>4663.5</v>
      </c>
      <c r="D96">
        <v>4648.2287960000003</v>
      </c>
      <c r="E96" t="s">
        <v>40</v>
      </c>
      <c r="F96">
        <v>5000</v>
      </c>
      <c r="G96">
        <v>10</v>
      </c>
      <c r="H96" t="s">
        <v>41</v>
      </c>
      <c r="I96" s="3">
        <v>349.5</v>
      </c>
      <c r="J96" s="3">
        <v>351.5</v>
      </c>
      <c r="K96" s="7">
        <v>15.48434761</v>
      </c>
      <c r="L96" s="3">
        <v>0.64329366399999999</v>
      </c>
      <c r="M96" s="3">
        <v>350.68012929999998</v>
      </c>
      <c r="N96" s="3">
        <v>-0.98565881</v>
      </c>
      <c r="O96" s="3">
        <v>0.23692753799999999</v>
      </c>
      <c r="P96" s="10">
        <v>9.3510380347403899E-5</v>
      </c>
      <c r="Q96" s="3">
        <v>-9.6747348999999996E-2</v>
      </c>
      <c r="R96">
        <v>0</v>
      </c>
      <c r="S96" t="b">
        <v>1</v>
      </c>
      <c r="T96" s="1">
        <v>45322.666666666664</v>
      </c>
      <c r="U96" s="1">
        <v>45338.666666666664</v>
      </c>
      <c r="V96" s="5">
        <f t="shared" si="17"/>
        <v>4.3835616438356165E-2</v>
      </c>
      <c r="W96">
        <v>3.7900000000000003E-2</v>
      </c>
      <c r="X96" s="4">
        <v>0.2</v>
      </c>
      <c r="Y96" s="5">
        <f t="shared" si="18"/>
        <v>-6.9671673249319263E-2</v>
      </c>
      <c r="Z96">
        <f t="shared" si="19"/>
        <v>5.7900000000000007E-2</v>
      </c>
      <c r="AA96" s="3">
        <f t="shared" si="20"/>
        <v>4.3835616438356165E-2</v>
      </c>
      <c r="AB96" s="3">
        <f t="shared" si="21"/>
        <v>4.1873913807217097E-2</v>
      </c>
      <c r="AC96" s="3">
        <f t="shared" si="22"/>
        <v>-1.6032318203312479</v>
      </c>
      <c r="AD96" s="3">
        <f t="shared" si="23"/>
        <v>5.4441741341606058E-2</v>
      </c>
      <c r="AE96" s="3">
        <f t="shared" si="24"/>
        <v>0.94555825865839394</v>
      </c>
      <c r="AF96">
        <f t="shared" si="25"/>
        <v>1.7899999999999999E-2</v>
      </c>
      <c r="AG96" s="3">
        <f t="shared" si="26"/>
        <v>-1.6451057341384649</v>
      </c>
      <c r="AH96" s="3">
        <f t="shared" si="27"/>
        <v>4.9974004154445334E-2</v>
      </c>
      <c r="AI96" s="3">
        <f t="shared" si="28"/>
        <v>0.95002599584555469</v>
      </c>
      <c r="AJ96" s="18" t="str">
        <f t="shared" si="29"/>
        <v>Put</v>
      </c>
      <c r="AK96" s="18">
        <f t="shared" si="30"/>
        <v>332.63386908779194</v>
      </c>
      <c r="AL96" s="3">
        <f t="shared" si="31"/>
        <v>332.63386908779194</v>
      </c>
      <c r="AM96" s="3">
        <f t="shared" si="32"/>
        <v>-1.6032318203312479</v>
      </c>
      <c r="AN96" s="3">
        <f t="shared" si="33"/>
        <v>-1.6451057341384649</v>
      </c>
    </row>
    <row r="97" spans="1:40" x14ac:dyDescent="0.25">
      <c r="A97" s="1">
        <v>45322.666666666664</v>
      </c>
      <c r="B97">
        <v>20240216</v>
      </c>
      <c r="C97">
        <v>4663.5</v>
      </c>
      <c r="D97">
        <v>4648.2287960000003</v>
      </c>
      <c r="E97" t="s">
        <v>42</v>
      </c>
      <c r="F97">
        <v>5025</v>
      </c>
      <c r="G97">
        <v>10</v>
      </c>
      <c r="H97" t="s">
        <v>41</v>
      </c>
      <c r="I97" s="3">
        <v>0.3</v>
      </c>
      <c r="J97" s="3">
        <v>0.5</v>
      </c>
      <c r="K97" s="7">
        <v>16.0037883</v>
      </c>
      <c r="L97" s="3">
        <v>0.64329366399999999</v>
      </c>
      <c r="M97" s="3">
        <v>0.37239962900000001</v>
      </c>
      <c r="N97" s="3">
        <v>7.6695230000000001E-3</v>
      </c>
      <c r="O97" s="3">
        <v>0.19609821399999999</v>
      </c>
      <c r="P97" s="10">
        <v>6.9250804236215495E-5</v>
      </c>
      <c r="Q97" s="3">
        <v>-7.6535662000000004E-2</v>
      </c>
      <c r="R97">
        <v>0</v>
      </c>
      <c r="S97" t="b">
        <v>1</v>
      </c>
      <c r="T97" s="1">
        <v>45322.666666666664</v>
      </c>
      <c r="U97" s="1">
        <v>45338.666666666664</v>
      </c>
      <c r="V97" s="5">
        <f t="shared" si="17"/>
        <v>4.3835616438356165E-2</v>
      </c>
      <c r="W97">
        <v>3.7900000000000003E-2</v>
      </c>
      <c r="X97" s="4">
        <v>0.2</v>
      </c>
      <c r="Y97" s="5">
        <f t="shared" si="18"/>
        <v>-7.4659214760358264E-2</v>
      </c>
      <c r="Z97">
        <f t="shared" si="19"/>
        <v>5.7900000000000007E-2</v>
      </c>
      <c r="AA97" s="3">
        <f t="shared" si="20"/>
        <v>4.3835616438356165E-2</v>
      </c>
      <c r="AB97" s="3">
        <f t="shared" si="21"/>
        <v>4.1873913807217097E-2</v>
      </c>
      <c r="AC97" s="3">
        <f t="shared" si="22"/>
        <v>-1.7223403788003964</v>
      </c>
      <c r="AD97" s="3">
        <f t="shared" si="23"/>
        <v>4.2503938578928896E-2</v>
      </c>
      <c r="AE97" s="3">
        <f t="shared" si="24"/>
        <v>0.95749606142107113</v>
      </c>
      <c r="AF97">
        <f t="shared" si="25"/>
        <v>1.7899999999999999E-2</v>
      </c>
      <c r="AG97" s="3">
        <f t="shared" si="26"/>
        <v>-1.7642142926076134</v>
      </c>
      <c r="AH97" s="3">
        <f t="shared" si="27"/>
        <v>3.8847953648974275E-2</v>
      </c>
      <c r="AI97" s="3">
        <f t="shared" si="28"/>
        <v>0.96115204635102569</v>
      </c>
      <c r="AJ97" s="18">
        <f t="shared" si="29"/>
        <v>3.3301988377600367</v>
      </c>
      <c r="AK97" s="18" t="str">
        <f t="shared" si="30"/>
        <v>Call</v>
      </c>
      <c r="AL97" s="3">
        <f t="shared" si="31"/>
        <v>3.3301988377600367</v>
      </c>
      <c r="AM97" s="3">
        <f t="shared" si="32"/>
        <v>-1.7223403788003964</v>
      </c>
      <c r="AN97" s="3">
        <f t="shared" si="33"/>
        <v>-1.7642142926076134</v>
      </c>
    </row>
    <row r="98" spans="1:40" x14ac:dyDescent="0.25">
      <c r="A98" s="1">
        <v>45322.666666666664</v>
      </c>
      <c r="B98">
        <v>20240216</v>
      </c>
      <c r="C98">
        <v>4663.5</v>
      </c>
      <c r="D98">
        <v>4648.2287960000003</v>
      </c>
      <c r="E98" t="s">
        <v>40</v>
      </c>
      <c r="F98">
        <v>5025</v>
      </c>
      <c r="G98">
        <v>10</v>
      </c>
      <c r="H98" t="s">
        <v>41</v>
      </c>
      <c r="I98" s="3">
        <v>374.4</v>
      </c>
      <c r="J98" s="3">
        <v>376.5</v>
      </c>
      <c r="K98" s="7">
        <v>16.0037883</v>
      </c>
      <c r="L98" s="3">
        <v>0.64329366399999999</v>
      </c>
      <c r="M98" s="3">
        <v>375.55140419999998</v>
      </c>
      <c r="N98" s="3">
        <v>-0.98750423099999995</v>
      </c>
      <c r="O98" s="3">
        <v>0.19609821399999999</v>
      </c>
      <c r="P98" s="10">
        <v>6.9250804236216105E-5</v>
      </c>
      <c r="Q98" s="3">
        <v>-7.6535662000000004E-2</v>
      </c>
      <c r="R98">
        <v>0</v>
      </c>
      <c r="S98" t="b">
        <v>1</v>
      </c>
      <c r="T98" s="1">
        <v>45322.666666666664</v>
      </c>
      <c r="U98" s="1">
        <v>45338.666666666664</v>
      </c>
      <c r="V98" s="5">
        <f t="shared" si="17"/>
        <v>4.3835616438356165E-2</v>
      </c>
      <c r="W98">
        <v>3.7900000000000003E-2</v>
      </c>
      <c r="X98" s="4">
        <v>0.2</v>
      </c>
      <c r="Y98" s="5">
        <f t="shared" si="18"/>
        <v>-7.4659214760358264E-2</v>
      </c>
      <c r="Z98">
        <f t="shared" si="19"/>
        <v>5.7900000000000007E-2</v>
      </c>
      <c r="AA98" s="3">
        <f t="shared" si="20"/>
        <v>4.3835616438356165E-2</v>
      </c>
      <c r="AB98" s="3">
        <f t="shared" si="21"/>
        <v>4.1873913807217097E-2</v>
      </c>
      <c r="AC98" s="3">
        <f t="shared" si="22"/>
        <v>-1.7223403788003964</v>
      </c>
      <c r="AD98" s="3">
        <f t="shared" si="23"/>
        <v>4.2503938578928896E-2</v>
      </c>
      <c r="AE98" s="3">
        <f t="shared" si="24"/>
        <v>0.95749606142107113</v>
      </c>
      <c r="AF98">
        <f t="shared" si="25"/>
        <v>1.7899999999999999E-2</v>
      </c>
      <c r="AG98" s="3">
        <f t="shared" si="26"/>
        <v>-1.7642142926076134</v>
      </c>
      <c r="AH98" s="3">
        <f t="shared" si="27"/>
        <v>3.8847953648974275E-2</v>
      </c>
      <c r="AI98" s="3">
        <f t="shared" si="28"/>
        <v>0.96115204635102569</v>
      </c>
      <c r="AJ98" s="18" t="str">
        <f t="shared" si="29"/>
        <v>Put</v>
      </c>
      <c r="AK98" s="18">
        <f t="shared" si="30"/>
        <v>356.48874631367289</v>
      </c>
      <c r="AL98" s="3">
        <f t="shared" si="31"/>
        <v>356.48874631367289</v>
      </c>
      <c r="AM98" s="3">
        <f t="shared" si="32"/>
        <v>-1.7223403788003964</v>
      </c>
      <c r="AN98" s="3">
        <f t="shared" si="33"/>
        <v>-1.7642142926076134</v>
      </c>
    </row>
    <row r="99" spans="1:40" x14ac:dyDescent="0.25">
      <c r="A99" s="1">
        <v>45322.666666666664</v>
      </c>
      <c r="B99">
        <v>20240216</v>
      </c>
      <c r="C99">
        <v>4663.5</v>
      </c>
      <c r="D99">
        <v>4648.2287960000003</v>
      </c>
      <c r="E99" t="s">
        <v>42</v>
      </c>
      <c r="F99">
        <v>5050</v>
      </c>
      <c r="G99">
        <v>10</v>
      </c>
      <c r="H99" t="s">
        <v>41</v>
      </c>
      <c r="I99" s="3">
        <v>0.2</v>
      </c>
      <c r="J99" s="3">
        <v>0.4</v>
      </c>
      <c r="K99" s="7">
        <v>16.543110039999998</v>
      </c>
      <c r="L99" s="3">
        <v>0.64329366399999999</v>
      </c>
      <c r="M99" s="3">
        <v>0.310091905</v>
      </c>
      <c r="N99" s="3">
        <v>6.3015010000000002E-3</v>
      </c>
      <c r="O99" s="3">
        <v>0.16487549000000001</v>
      </c>
      <c r="P99" s="10">
        <v>5.18214146579074E-5</v>
      </c>
      <c r="Q99" s="3">
        <v>-6.1197968999999998E-2</v>
      </c>
      <c r="R99">
        <v>0</v>
      </c>
      <c r="S99" t="b">
        <v>1</v>
      </c>
      <c r="T99" s="1">
        <v>45322.666666666664</v>
      </c>
      <c r="U99" s="1">
        <v>45338.666666666664</v>
      </c>
      <c r="V99" s="5">
        <f t="shared" si="17"/>
        <v>4.3835616438356165E-2</v>
      </c>
      <c r="W99">
        <v>3.7900000000000003E-2</v>
      </c>
      <c r="X99" s="4">
        <v>0.2</v>
      </c>
      <c r="Y99" s="5">
        <f t="shared" si="18"/>
        <v>-7.9622004102487265E-2</v>
      </c>
      <c r="Z99">
        <f t="shared" si="19"/>
        <v>5.7900000000000007E-2</v>
      </c>
      <c r="AA99" s="3">
        <f t="shared" si="20"/>
        <v>4.3835616438356165E-2</v>
      </c>
      <c r="AB99" s="3">
        <f t="shared" si="21"/>
        <v>4.1873913807217097E-2</v>
      </c>
      <c r="AC99" s="3">
        <f t="shared" si="22"/>
        <v>-1.8408578253657482</v>
      </c>
      <c r="AD99" s="3">
        <f t="shared" si="23"/>
        <v>3.2821198110950439E-2</v>
      </c>
      <c r="AE99" s="3">
        <f t="shared" si="24"/>
        <v>0.96717880188904959</v>
      </c>
      <c r="AF99">
        <f t="shared" si="25"/>
        <v>1.7899999999999999E-2</v>
      </c>
      <c r="AG99" s="3">
        <f t="shared" si="26"/>
        <v>-1.8827317391729654</v>
      </c>
      <c r="AH99" s="3">
        <f t="shared" si="27"/>
        <v>2.9868365929292238E-2</v>
      </c>
      <c r="AI99" s="3">
        <f t="shared" si="28"/>
        <v>0.97013163407070779</v>
      </c>
      <c r="AJ99" s="18">
        <f t="shared" si="29"/>
        <v>2.4767945339940241</v>
      </c>
      <c r="AK99" s="18" t="str">
        <f t="shared" si="30"/>
        <v>Call</v>
      </c>
      <c r="AL99" s="3">
        <f t="shared" si="31"/>
        <v>2.4767945339940241</v>
      </c>
      <c r="AM99" s="3">
        <f t="shared" si="32"/>
        <v>-1.8408578253657482</v>
      </c>
      <c r="AN99" s="3">
        <f t="shared" si="33"/>
        <v>-1.8827317391729654</v>
      </c>
    </row>
    <row r="100" spans="1:40" x14ac:dyDescent="0.25">
      <c r="A100" s="1">
        <v>45322.666666666664</v>
      </c>
      <c r="B100">
        <v>20240216</v>
      </c>
      <c r="C100">
        <v>4663.5</v>
      </c>
      <c r="D100">
        <v>4648.2287960000003</v>
      </c>
      <c r="E100" t="s">
        <v>40</v>
      </c>
      <c r="F100">
        <v>5050</v>
      </c>
      <c r="G100">
        <v>10</v>
      </c>
      <c r="H100" t="s">
        <v>41</v>
      </c>
      <c r="I100" s="3">
        <v>399.3</v>
      </c>
      <c r="J100" s="3">
        <v>401.4</v>
      </c>
      <c r="K100" s="7">
        <v>16.543110039999998</v>
      </c>
      <c r="L100" s="3">
        <v>0.64329366399999999</v>
      </c>
      <c r="M100" s="3">
        <v>400.44517509999997</v>
      </c>
      <c r="N100" s="3">
        <v>-0.98887225400000001</v>
      </c>
      <c r="O100" s="3">
        <v>0.16487549000000001</v>
      </c>
      <c r="P100" s="10">
        <v>5.1821414657903897E-5</v>
      </c>
      <c r="Q100" s="3">
        <v>-6.1197968999999998E-2</v>
      </c>
      <c r="R100">
        <v>0</v>
      </c>
      <c r="S100" t="b">
        <v>1</v>
      </c>
      <c r="T100" s="1">
        <v>45322.666666666664</v>
      </c>
      <c r="U100" s="1">
        <v>45338.666666666664</v>
      </c>
      <c r="V100" s="5">
        <f t="shared" si="17"/>
        <v>4.3835616438356165E-2</v>
      </c>
      <c r="W100">
        <v>3.7900000000000003E-2</v>
      </c>
      <c r="X100" s="4">
        <v>0.2</v>
      </c>
      <c r="Y100" s="5">
        <f t="shared" si="18"/>
        <v>-7.9622004102487265E-2</v>
      </c>
      <c r="Z100">
        <f t="shared" si="19"/>
        <v>5.7900000000000007E-2</v>
      </c>
      <c r="AA100" s="3">
        <f t="shared" si="20"/>
        <v>4.3835616438356165E-2</v>
      </c>
      <c r="AB100" s="3">
        <f t="shared" si="21"/>
        <v>4.1873913807217097E-2</v>
      </c>
      <c r="AC100" s="3">
        <f t="shared" si="22"/>
        <v>-1.8408578253657482</v>
      </c>
      <c r="AD100" s="3">
        <f t="shared" si="23"/>
        <v>3.2821198110950439E-2</v>
      </c>
      <c r="AE100" s="3">
        <f t="shared" si="24"/>
        <v>0.96717880188904959</v>
      </c>
      <c r="AF100">
        <f t="shared" si="25"/>
        <v>1.7899999999999999E-2</v>
      </c>
      <c r="AG100" s="3">
        <f t="shared" si="26"/>
        <v>-1.8827317391729654</v>
      </c>
      <c r="AH100" s="3">
        <f t="shared" si="27"/>
        <v>2.9868365929292238E-2</v>
      </c>
      <c r="AI100" s="3">
        <f t="shared" si="28"/>
        <v>0.97013163407070779</v>
      </c>
      <c r="AJ100" s="18" t="str">
        <f t="shared" si="29"/>
        <v>Put</v>
      </c>
      <c r="AK100" s="18">
        <f t="shared" si="30"/>
        <v>380.59384224610494</v>
      </c>
      <c r="AL100" s="3">
        <f t="shared" si="31"/>
        <v>380.59384224610494</v>
      </c>
      <c r="AM100" s="3">
        <f t="shared" si="32"/>
        <v>-1.8408578253657482</v>
      </c>
      <c r="AN100" s="3">
        <f t="shared" si="33"/>
        <v>-1.8827317391729654</v>
      </c>
    </row>
    <row r="101" spans="1:40" x14ac:dyDescent="0.25">
      <c r="A101" s="1">
        <v>45322.666666666664</v>
      </c>
      <c r="B101">
        <v>20240216</v>
      </c>
      <c r="C101">
        <v>4663.5</v>
      </c>
      <c r="D101">
        <v>4648.2287960000003</v>
      </c>
      <c r="E101" t="s">
        <v>42</v>
      </c>
      <c r="F101">
        <v>5075</v>
      </c>
      <c r="G101">
        <v>10</v>
      </c>
      <c r="H101" t="s">
        <v>41</v>
      </c>
      <c r="I101" s="3">
        <v>0.2</v>
      </c>
      <c r="J101" s="3">
        <v>0.4</v>
      </c>
      <c r="K101" s="7">
        <v>17.102005819999999</v>
      </c>
      <c r="L101" s="3">
        <v>0.64329366399999999</v>
      </c>
      <c r="M101" s="3">
        <v>0.26383611000000001</v>
      </c>
      <c r="N101" s="3">
        <v>5.2767589999999998E-3</v>
      </c>
      <c r="O101" s="3">
        <v>0.14085283300000001</v>
      </c>
      <c r="P101" s="10">
        <v>3.9176627024041798E-5</v>
      </c>
      <c r="Q101" s="3">
        <v>-4.9444109999999999E-2</v>
      </c>
      <c r="R101">
        <v>0</v>
      </c>
      <c r="S101" t="b">
        <v>1</v>
      </c>
      <c r="T101" s="1">
        <v>45322.666666666664</v>
      </c>
      <c r="U101" s="1">
        <v>45338.666666666664</v>
      </c>
      <c r="V101" s="5">
        <f t="shared" si="17"/>
        <v>4.3835616438356165E-2</v>
      </c>
      <c r="W101">
        <v>3.7900000000000003E-2</v>
      </c>
      <c r="X101" s="4">
        <v>0.2</v>
      </c>
      <c r="Y101" s="5">
        <f t="shared" si="18"/>
        <v>-8.4560285743069855E-2</v>
      </c>
      <c r="Z101">
        <f t="shared" si="19"/>
        <v>5.7900000000000007E-2</v>
      </c>
      <c r="AA101" s="3">
        <f t="shared" si="20"/>
        <v>4.3835616438356165E-2</v>
      </c>
      <c r="AB101" s="3">
        <f t="shared" si="21"/>
        <v>4.1873913807217097E-2</v>
      </c>
      <c r="AC101" s="3">
        <f t="shared" si="22"/>
        <v>-1.9587899982053325</v>
      </c>
      <c r="AD101" s="3">
        <f t="shared" si="23"/>
        <v>2.5068692697155014E-2</v>
      </c>
      <c r="AE101" s="3">
        <f t="shared" si="24"/>
        <v>0.97493130730284494</v>
      </c>
      <c r="AF101">
        <f t="shared" si="25"/>
        <v>1.7899999999999999E-2</v>
      </c>
      <c r="AG101" s="3">
        <f t="shared" si="26"/>
        <v>-2.0006639120125498</v>
      </c>
      <c r="AH101" s="3">
        <f t="shared" si="27"/>
        <v>2.2714310487135767E-2</v>
      </c>
      <c r="AI101" s="3">
        <f t="shared" si="28"/>
        <v>0.97728568951286421</v>
      </c>
      <c r="AJ101" s="18">
        <f t="shared" si="29"/>
        <v>1.8240782905544535</v>
      </c>
      <c r="AK101" s="18" t="str">
        <f t="shared" si="30"/>
        <v>Call</v>
      </c>
      <c r="AL101" s="3">
        <f t="shared" si="31"/>
        <v>1.8240782905544535</v>
      </c>
      <c r="AM101" s="3">
        <f t="shared" si="32"/>
        <v>-1.9587899982053325</v>
      </c>
      <c r="AN101" s="3">
        <f t="shared" si="33"/>
        <v>-2.0006639120125498</v>
      </c>
    </row>
    <row r="102" spans="1:40" x14ac:dyDescent="0.25">
      <c r="A102" s="1">
        <v>45322.666666666664</v>
      </c>
      <c r="B102">
        <v>20240216</v>
      </c>
      <c r="C102">
        <v>4663.5</v>
      </c>
      <c r="D102">
        <v>4648.2287960000003</v>
      </c>
      <c r="E102" t="s">
        <v>40</v>
      </c>
      <c r="F102">
        <v>5075</v>
      </c>
      <c r="G102">
        <v>10</v>
      </c>
      <c r="H102" t="s">
        <v>41</v>
      </c>
      <c r="I102" s="3">
        <v>424.2</v>
      </c>
      <c r="J102" s="3">
        <v>426.3</v>
      </c>
      <c r="K102" s="7">
        <v>17.102005819999999</v>
      </c>
      <c r="L102" s="3">
        <v>0.64329366399999999</v>
      </c>
      <c r="M102" s="3">
        <v>425.35499800000002</v>
      </c>
      <c r="N102" s="3">
        <v>-0.98989699499999995</v>
      </c>
      <c r="O102" s="3">
        <v>0.14085283300000001</v>
      </c>
      <c r="P102" s="10">
        <v>3.9176627024041899E-5</v>
      </c>
      <c r="Q102" s="3">
        <v>-4.9444109999999999E-2</v>
      </c>
      <c r="R102">
        <v>0</v>
      </c>
      <c r="S102" t="b">
        <v>1</v>
      </c>
      <c r="T102" s="1">
        <v>45322.666666666664</v>
      </c>
      <c r="U102" s="1">
        <v>45338.666666666664</v>
      </c>
      <c r="V102" s="5">
        <f t="shared" si="17"/>
        <v>4.3835616438356165E-2</v>
      </c>
      <c r="W102">
        <v>3.7900000000000003E-2</v>
      </c>
      <c r="X102" s="4">
        <v>0.2</v>
      </c>
      <c r="Y102" s="5">
        <f t="shared" si="18"/>
        <v>-8.4560285743069855E-2</v>
      </c>
      <c r="Z102">
        <f t="shared" si="19"/>
        <v>5.7900000000000007E-2</v>
      </c>
      <c r="AA102" s="3">
        <f t="shared" si="20"/>
        <v>4.3835616438356165E-2</v>
      </c>
      <c r="AB102" s="3">
        <f t="shared" si="21"/>
        <v>4.1873913807217097E-2</v>
      </c>
      <c r="AC102" s="3">
        <f t="shared" si="22"/>
        <v>-1.9587899982053325</v>
      </c>
      <c r="AD102" s="3">
        <f t="shared" si="23"/>
        <v>2.5068692697155014E-2</v>
      </c>
      <c r="AE102" s="3">
        <f t="shared" si="24"/>
        <v>0.97493130730284494</v>
      </c>
      <c r="AF102">
        <f t="shared" si="25"/>
        <v>1.7899999999999999E-2</v>
      </c>
      <c r="AG102" s="3">
        <f t="shared" si="26"/>
        <v>-2.0006639120125498</v>
      </c>
      <c r="AH102" s="3">
        <f t="shared" si="27"/>
        <v>2.2714310487135767E-2</v>
      </c>
      <c r="AI102" s="3">
        <f t="shared" si="28"/>
        <v>0.97728568951286421</v>
      </c>
      <c r="AJ102" s="18" t="str">
        <f t="shared" si="29"/>
        <v>Put</v>
      </c>
      <c r="AK102" s="18">
        <f t="shared" si="30"/>
        <v>404.89962623886458</v>
      </c>
      <c r="AL102" s="3">
        <f t="shared" si="31"/>
        <v>404.89962623886458</v>
      </c>
      <c r="AM102" s="3">
        <f t="shared" si="32"/>
        <v>-1.9587899982053325</v>
      </c>
      <c r="AN102" s="3">
        <f t="shared" si="33"/>
        <v>-2.0006639120125498</v>
      </c>
    </row>
    <row r="103" spans="1:40" x14ac:dyDescent="0.25">
      <c r="A103" s="1">
        <v>45322.666666666664</v>
      </c>
      <c r="B103">
        <v>20240216</v>
      </c>
      <c r="C103">
        <v>4663.5</v>
      </c>
      <c r="D103">
        <v>4648.2287960000003</v>
      </c>
      <c r="E103" t="s">
        <v>42</v>
      </c>
      <c r="F103">
        <v>5100</v>
      </c>
      <c r="G103">
        <v>10</v>
      </c>
      <c r="H103" t="s">
        <v>41</v>
      </c>
      <c r="I103" s="3">
        <v>0.1</v>
      </c>
      <c r="J103" s="3">
        <v>0.3</v>
      </c>
      <c r="K103" s="7">
        <v>17.680174269999998</v>
      </c>
      <c r="L103" s="3">
        <v>0.64329366399999999</v>
      </c>
      <c r="M103" s="3">
        <v>0.229204353</v>
      </c>
      <c r="N103" s="3">
        <v>4.501499E-3</v>
      </c>
      <c r="O103" s="3">
        <v>0.122255369</v>
      </c>
      <c r="P103" s="10">
        <v>2.99002846375167E-5</v>
      </c>
      <c r="Q103" s="3">
        <v>-4.0331263999999999E-2</v>
      </c>
      <c r="R103">
        <v>0</v>
      </c>
      <c r="S103" t="b">
        <v>1</v>
      </c>
      <c r="T103" s="1">
        <v>45322.666666666664</v>
      </c>
      <c r="U103" s="1">
        <v>45338.666666666664</v>
      </c>
      <c r="V103" s="5">
        <f t="shared" si="17"/>
        <v>4.3835616438356165E-2</v>
      </c>
      <c r="W103">
        <v>3.7900000000000003E-2</v>
      </c>
      <c r="X103" s="4">
        <v>0.2</v>
      </c>
      <c r="Y103" s="5">
        <f t="shared" si="18"/>
        <v>-8.947430054549893E-2</v>
      </c>
      <c r="Z103">
        <f t="shared" si="19"/>
        <v>5.7900000000000007E-2</v>
      </c>
      <c r="AA103" s="3">
        <f t="shared" si="20"/>
        <v>4.3835616438356165E-2</v>
      </c>
      <c r="AB103" s="3">
        <f t="shared" si="21"/>
        <v>4.1873913807217097E-2</v>
      </c>
      <c r="AC103" s="3">
        <f t="shared" si="22"/>
        <v>-2.0761426494299746</v>
      </c>
      <c r="AD103" s="3">
        <f t="shared" si="23"/>
        <v>1.89403798130162E-2</v>
      </c>
      <c r="AE103" s="3">
        <f t="shared" si="24"/>
        <v>0.98105962018698378</v>
      </c>
      <c r="AF103">
        <f t="shared" si="25"/>
        <v>1.7899999999999999E-2</v>
      </c>
      <c r="AG103" s="3">
        <f t="shared" si="26"/>
        <v>-2.1180165632371919</v>
      </c>
      <c r="AH103" s="3">
        <f t="shared" si="27"/>
        <v>1.7086832481339805E-2</v>
      </c>
      <c r="AI103" s="3">
        <f t="shared" si="28"/>
        <v>0.9829131675186602</v>
      </c>
      <c r="AJ103" s="18">
        <f t="shared" si="29"/>
        <v>1.3302719036344257</v>
      </c>
      <c r="AK103" s="18" t="str">
        <f t="shared" si="30"/>
        <v>Call</v>
      </c>
      <c r="AL103" s="3">
        <f t="shared" si="31"/>
        <v>1.3302719036344257</v>
      </c>
      <c r="AM103" s="3">
        <f t="shared" si="32"/>
        <v>-2.0761426494299746</v>
      </c>
      <c r="AN103" s="3">
        <f t="shared" si="33"/>
        <v>-2.1180165632371919</v>
      </c>
    </row>
    <row r="104" spans="1:40" x14ac:dyDescent="0.25">
      <c r="A104" s="1">
        <v>45322.666666666664</v>
      </c>
      <c r="B104">
        <v>20240216</v>
      </c>
      <c r="C104">
        <v>4663.5</v>
      </c>
      <c r="D104">
        <v>4648.2287960000003</v>
      </c>
      <c r="E104" t="s">
        <v>40</v>
      </c>
      <c r="F104">
        <v>5100</v>
      </c>
      <c r="G104">
        <v>10</v>
      </c>
      <c r="H104" t="s">
        <v>41</v>
      </c>
      <c r="I104" s="3">
        <v>449.1</v>
      </c>
      <c r="J104" s="3">
        <v>451.2</v>
      </c>
      <c r="K104" s="7">
        <v>17.680174269999998</v>
      </c>
      <c r="L104" s="3">
        <v>0.64329366399999999</v>
      </c>
      <c r="M104" s="3">
        <v>450.2764449</v>
      </c>
      <c r="N104" s="3">
        <v>-0.99067225599999997</v>
      </c>
      <c r="O104" s="3">
        <v>0.122255369</v>
      </c>
      <c r="P104" s="10">
        <v>2.99002846375196E-5</v>
      </c>
      <c r="Q104" s="3">
        <v>-4.0331263999999999E-2</v>
      </c>
      <c r="R104">
        <v>0</v>
      </c>
      <c r="S104" t="b">
        <v>1</v>
      </c>
      <c r="T104" s="1">
        <v>45322.666666666664</v>
      </c>
      <c r="U104" s="1">
        <v>45338.666666666664</v>
      </c>
      <c r="V104" s="5">
        <f t="shared" si="17"/>
        <v>4.3835616438356165E-2</v>
      </c>
      <c r="W104">
        <v>3.7900000000000003E-2</v>
      </c>
      <c r="X104" s="4">
        <v>0.2</v>
      </c>
      <c r="Y104" s="5">
        <f t="shared" si="18"/>
        <v>-8.947430054549893E-2</v>
      </c>
      <c r="Z104">
        <f t="shared" si="19"/>
        <v>5.7900000000000007E-2</v>
      </c>
      <c r="AA104" s="3">
        <f t="shared" si="20"/>
        <v>4.3835616438356165E-2</v>
      </c>
      <c r="AB104" s="3">
        <f t="shared" si="21"/>
        <v>4.1873913807217097E-2</v>
      </c>
      <c r="AC104" s="3">
        <f t="shared" si="22"/>
        <v>-2.0761426494299746</v>
      </c>
      <c r="AD104" s="3">
        <f t="shared" si="23"/>
        <v>1.89403798130162E-2</v>
      </c>
      <c r="AE104" s="3">
        <f t="shared" si="24"/>
        <v>0.98105962018698378</v>
      </c>
      <c r="AF104">
        <f t="shared" si="25"/>
        <v>1.7899999999999999E-2</v>
      </c>
      <c r="AG104" s="3">
        <f t="shared" si="26"/>
        <v>-2.1180165632371919</v>
      </c>
      <c r="AH104" s="3">
        <f t="shared" si="27"/>
        <v>1.7086832481339805E-2</v>
      </c>
      <c r="AI104" s="3">
        <f t="shared" si="28"/>
        <v>0.9829131675186602</v>
      </c>
      <c r="AJ104" s="18" t="str">
        <f t="shared" si="29"/>
        <v>Put</v>
      </c>
      <c r="AK104" s="18">
        <f t="shared" si="30"/>
        <v>429.36432008814336</v>
      </c>
      <c r="AL104" s="3">
        <f t="shared" si="31"/>
        <v>429.36432008814336</v>
      </c>
      <c r="AM104" s="3">
        <f t="shared" si="32"/>
        <v>-2.0761426494299746</v>
      </c>
      <c r="AN104" s="3">
        <f t="shared" si="33"/>
        <v>-2.1180165632371919</v>
      </c>
    </row>
    <row r="105" spans="1:40" x14ac:dyDescent="0.25">
      <c r="A105" s="1">
        <v>45322.666666666664</v>
      </c>
      <c r="B105">
        <v>20240216</v>
      </c>
      <c r="C105">
        <v>4663.5</v>
      </c>
      <c r="D105">
        <v>4648.2287960000003</v>
      </c>
      <c r="E105" t="s">
        <v>42</v>
      </c>
      <c r="F105">
        <v>5125</v>
      </c>
      <c r="G105">
        <v>10</v>
      </c>
      <c r="H105" t="s">
        <v>41</v>
      </c>
      <c r="I105" s="3">
        <v>0.1</v>
      </c>
      <c r="J105" s="3">
        <v>0.3</v>
      </c>
      <c r="K105" s="7">
        <v>18.27731949</v>
      </c>
      <c r="L105" s="3">
        <v>0.64329366399999999</v>
      </c>
      <c r="M105" s="3">
        <v>0.20312529100000001</v>
      </c>
      <c r="N105" s="3">
        <v>3.9097009999999998E-3</v>
      </c>
      <c r="O105" s="3">
        <v>0.10777587299999999</v>
      </c>
      <c r="P105" s="10">
        <v>2.6014505251736799E-5</v>
      </c>
      <c r="Q105" s="3">
        <v>-3.7500235999999999E-2</v>
      </c>
      <c r="R105">
        <v>0</v>
      </c>
      <c r="S105" t="b">
        <v>1</v>
      </c>
      <c r="T105" s="1">
        <v>45322.666666666664</v>
      </c>
      <c r="U105" s="1">
        <v>45338.666666666664</v>
      </c>
      <c r="V105" s="5">
        <f t="shared" si="17"/>
        <v>4.3835616438356165E-2</v>
      </c>
      <c r="W105">
        <v>3.7900000000000003E-2</v>
      </c>
      <c r="X105" s="4">
        <v>0.2</v>
      </c>
      <c r="Y105" s="5">
        <f t="shared" si="18"/>
        <v>-9.4364285839690698E-2</v>
      </c>
      <c r="Z105">
        <f t="shared" si="19"/>
        <v>5.7900000000000007E-2</v>
      </c>
      <c r="AA105" s="3">
        <f t="shared" si="20"/>
        <v>4.3835616438356165E-2</v>
      </c>
      <c r="AB105" s="3">
        <f t="shared" si="21"/>
        <v>4.1873913807217097E-2</v>
      </c>
      <c r="AC105" s="3">
        <f t="shared" si="22"/>
        <v>-2.1929214467667779</v>
      </c>
      <c r="AD105" s="3">
        <f t="shared" si="23"/>
        <v>1.4156519610560022E-2</v>
      </c>
      <c r="AE105" s="3">
        <f t="shared" si="24"/>
        <v>0.98584348038944003</v>
      </c>
      <c r="AF105">
        <f t="shared" si="25"/>
        <v>1.7899999999999999E-2</v>
      </c>
      <c r="AG105" s="3">
        <f t="shared" si="26"/>
        <v>-2.2347953605739952</v>
      </c>
      <c r="AH105" s="3">
        <f t="shared" si="27"/>
        <v>1.2715393290724609E-2</v>
      </c>
      <c r="AI105" s="3">
        <f t="shared" si="28"/>
        <v>0.98728460670927543</v>
      </c>
      <c r="AJ105" s="18">
        <f t="shared" si="29"/>
        <v>0.96071418161555755</v>
      </c>
      <c r="AK105" s="18" t="str">
        <f t="shared" si="30"/>
        <v>Call</v>
      </c>
      <c r="AL105" s="3">
        <f t="shared" si="31"/>
        <v>0.96071418161555755</v>
      </c>
      <c r="AM105" s="3">
        <f t="shared" si="32"/>
        <v>-2.1929214467667779</v>
      </c>
      <c r="AN105" s="3">
        <f t="shared" si="33"/>
        <v>-2.2347953605739952</v>
      </c>
    </row>
    <row r="106" spans="1:40" x14ac:dyDescent="0.25">
      <c r="A106" s="1">
        <v>45322.666666666664</v>
      </c>
      <c r="B106">
        <v>20240216</v>
      </c>
      <c r="C106">
        <v>4663.5</v>
      </c>
      <c r="D106">
        <v>4648.2287960000003</v>
      </c>
      <c r="E106" t="s">
        <v>40</v>
      </c>
      <c r="F106">
        <v>5125</v>
      </c>
      <c r="G106">
        <v>10</v>
      </c>
      <c r="H106" t="s">
        <v>41</v>
      </c>
      <c r="I106" s="3">
        <v>474</v>
      </c>
      <c r="J106" s="3">
        <v>476.1</v>
      </c>
      <c r="K106" s="7">
        <v>18.27731949</v>
      </c>
      <c r="L106" s="3">
        <v>0.64329366399999999</v>
      </c>
      <c r="M106" s="3">
        <v>475.20644449999998</v>
      </c>
      <c r="N106" s="3">
        <v>-0.99126405399999995</v>
      </c>
      <c r="O106" s="3">
        <v>0.10777587299999999</v>
      </c>
      <c r="P106" s="10">
        <v>2.6014505251738399E-5</v>
      </c>
      <c r="Q106" s="3">
        <v>-3.7500235999999999E-2</v>
      </c>
      <c r="R106">
        <v>0</v>
      </c>
      <c r="S106" t="b">
        <v>1</v>
      </c>
      <c r="T106" s="1">
        <v>45322.666666666664</v>
      </c>
      <c r="U106" s="1">
        <v>45338.666666666664</v>
      </c>
      <c r="V106" s="5">
        <f t="shared" si="17"/>
        <v>4.3835616438356165E-2</v>
      </c>
      <c r="W106">
        <v>3.7900000000000003E-2</v>
      </c>
      <c r="X106" s="4">
        <v>0.2</v>
      </c>
      <c r="Y106" s="5">
        <f t="shared" si="18"/>
        <v>-9.4364285839690698E-2</v>
      </c>
      <c r="Z106">
        <f t="shared" si="19"/>
        <v>5.7900000000000007E-2</v>
      </c>
      <c r="AA106" s="3">
        <f t="shared" si="20"/>
        <v>4.3835616438356165E-2</v>
      </c>
      <c r="AB106" s="3">
        <f t="shared" si="21"/>
        <v>4.1873913807217097E-2</v>
      </c>
      <c r="AC106" s="3">
        <f t="shared" si="22"/>
        <v>-2.1929214467667779</v>
      </c>
      <c r="AD106" s="3">
        <f t="shared" si="23"/>
        <v>1.4156519610560022E-2</v>
      </c>
      <c r="AE106" s="3">
        <f t="shared" si="24"/>
        <v>0.98584348038944003</v>
      </c>
      <c r="AF106">
        <f t="shared" si="25"/>
        <v>1.7899999999999999E-2</v>
      </c>
      <c r="AG106" s="3">
        <f t="shared" si="26"/>
        <v>-2.2347953605739952</v>
      </c>
      <c r="AH106" s="3">
        <f t="shared" si="27"/>
        <v>1.2715393290724609E-2</v>
      </c>
      <c r="AI106" s="3">
        <f t="shared" si="28"/>
        <v>0.98728460670927543</v>
      </c>
      <c r="AJ106" s="18" t="str">
        <f t="shared" si="29"/>
        <v>Put</v>
      </c>
      <c r="AK106" s="18">
        <f t="shared" si="30"/>
        <v>453.95326260232287</v>
      </c>
      <c r="AL106" s="3">
        <f t="shared" si="31"/>
        <v>453.95326260232287</v>
      </c>
      <c r="AM106" s="3">
        <f t="shared" si="32"/>
        <v>-2.1929214467667779</v>
      </c>
      <c r="AN106" s="3">
        <f t="shared" si="33"/>
        <v>-2.2347953605739952</v>
      </c>
    </row>
  </sheetData>
  <autoFilter ref="A1:U106" xr:uid="{00000000-0009-0000-0000-000001000000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N39"/>
  <sheetViews>
    <sheetView showGridLines="0" zoomScale="75" zoomScaleNormal="75" workbookViewId="0">
      <selection activeCell="A2" sqref="A2"/>
    </sheetView>
  </sheetViews>
  <sheetFormatPr defaultRowHeight="15" x14ac:dyDescent="0.25"/>
  <cols>
    <col min="1" max="1" width="17.28515625" bestFit="1" customWidth="1"/>
    <col min="2" max="2" width="10.42578125" bestFit="1" customWidth="1"/>
    <col min="3" max="3" width="8.140625" bestFit="1" customWidth="1"/>
    <col min="4" max="4" width="13.85546875" bestFit="1" customWidth="1"/>
    <col min="5" max="5" width="9.85546875" bestFit="1" customWidth="1"/>
    <col min="6" max="6" width="11.140625" bestFit="1" customWidth="1"/>
    <col min="7" max="7" width="18" bestFit="1" customWidth="1"/>
    <col min="8" max="8" width="13.42578125" bestFit="1" customWidth="1"/>
    <col min="9" max="10" width="9.85546875" style="14" bestFit="1" customWidth="1"/>
    <col min="11" max="15" width="13.85546875" style="14" bestFit="1" customWidth="1"/>
    <col min="16" max="16" width="13.28515625" style="14" bestFit="1" customWidth="1"/>
    <col min="17" max="17" width="14.42578125" style="14" bestFit="1" customWidth="1"/>
    <col min="18" max="18" width="6.85546875" bestFit="1" customWidth="1"/>
    <col min="19" max="19" width="8.28515625" bestFit="1" customWidth="1"/>
    <col min="20" max="21" width="17.28515625" bestFit="1" customWidth="1"/>
    <col min="22" max="22" width="16" style="14" bestFit="1" customWidth="1"/>
    <col min="23" max="23" width="10.5703125" bestFit="1" customWidth="1"/>
    <col min="24" max="24" width="6.42578125" bestFit="1" customWidth="1"/>
    <col min="25" max="25" width="14.42578125" style="14" bestFit="1" customWidth="1"/>
    <col min="26" max="26" width="16.140625" style="14" bestFit="1" customWidth="1"/>
    <col min="27" max="27" width="13.85546875" style="14" bestFit="1" customWidth="1"/>
    <col min="28" max="28" width="15.7109375" style="14" bestFit="1" customWidth="1"/>
    <col min="29" max="29" width="14.42578125" style="14" bestFit="1" customWidth="1"/>
    <col min="30" max="31" width="18" style="14" bestFit="1" customWidth="1"/>
    <col min="32" max="32" width="16.140625" bestFit="1" customWidth="1"/>
    <col min="33" max="33" width="14.42578125" style="14" bestFit="1" customWidth="1"/>
    <col min="34" max="36" width="13.85546875" style="14" bestFit="1" customWidth="1"/>
    <col min="37" max="37" width="9.28515625" style="14" bestFit="1" customWidth="1"/>
    <col min="38" max="38" width="13.85546875" style="14" bestFit="1" customWidth="1"/>
    <col min="39" max="40" width="14.42578125" style="14" bestFit="1" customWidth="1"/>
  </cols>
  <sheetData>
    <row r="1" spans="1:40" x14ac:dyDescent="0.25">
      <c r="A1" s="2" t="s">
        <v>5</v>
      </c>
      <c r="B1" s="2" t="s">
        <v>6</v>
      </c>
      <c r="C1" s="2" t="s">
        <v>7</v>
      </c>
      <c r="D1" s="2" t="s">
        <v>8</v>
      </c>
      <c r="E1" s="2" t="s">
        <v>9</v>
      </c>
      <c r="F1" s="2" t="s">
        <v>0</v>
      </c>
      <c r="G1" s="2" t="s">
        <v>10</v>
      </c>
      <c r="H1" s="2" t="s">
        <v>11</v>
      </c>
      <c r="I1" s="13" t="s">
        <v>12</v>
      </c>
      <c r="J1" s="13" t="s">
        <v>13</v>
      </c>
      <c r="K1" s="13" t="s">
        <v>14</v>
      </c>
      <c r="L1" s="13" t="s">
        <v>15</v>
      </c>
      <c r="M1" s="13" t="s">
        <v>16</v>
      </c>
      <c r="N1" s="13" t="s">
        <v>17</v>
      </c>
      <c r="O1" s="13" t="s">
        <v>18</v>
      </c>
      <c r="P1" s="13" t="s">
        <v>19</v>
      </c>
      <c r="Q1" s="13" t="s">
        <v>20</v>
      </c>
      <c r="R1" s="2" t="s">
        <v>21</v>
      </c>
      <c r="S1" s="2" t="s">
        <v>22</v>
      </c>
      <c r="T1" s="2" t="s">
        <v>23</v>
      </c>
      <c r="U1" s="2" t="s">
        <v>24</v>
      </c>
      <c r="V1" s="13" t="s">
        <v>25</v>
      </c>
      <c r="W1" s="2" t="s">
        <v>26</v>
      </c>
      <c r="X1" s="2" t="s">
        <v>14</v>
      </c>
      <c r="Y1" s="13" t="s">
        <v>27</v>
      </c>
      <c r="Z1" s="13" t="s">
        <v>28</v>
      </c>
      <c r="AA1" s="13" t="s">
        <v>29</v>
      </c>
      <c r="AB1" s="13" t="s">
        <v>30</v>
      </c>
      <c r="AC1" s="13" t="s">
        <v>31</v>
      </c>
      <c r="AD1" s="13" t="s">
        <v>32</v>
      </c>
      <c r="AE1" s="13" t="s">
        <v>33</v>
      </c>
      <c r="AF1" s="2" t="s">
        <v>28</v>
      </c>
      <c r="AG1" s="13" t="s">
        <v>34</v>
      </c>
      <c r="AH1" s="13" t="s">
        <v>35</v>
      </c>
      <c r="AI1" s="13" t="s">
        <v>36</v>
      </c>
      <c r="AJ1" s="13" t="s">
        <v>37</v>
      </c>
      <c r="AK1" s="13" t="s">
        <v>38</v>
      </c>
      <c r="AL1" s="13" t="s">
        <v>39</v>
      </c>
      <c r="AM1" s="13" t="s">
        <v>31</v>
      </c>
      <c r="AN1" s="13" t="s">
        <v>34</v>
      </c>
    </row>
    <row r="2" spans="1:40" x14ac:dyDescent="0.25">
      <c r="A2" s="1">
        <v>45322.666666666664</v>
      </c>
      <c r="B2">
        <v>20240216</v>
      </c>
      <c r="C2">
        <v>4663.5</v>
      </c>
      <c r="D2">
        <v>4648.2287960000003</v>
      </c>
      <c r="E2" t="s">
        <v>42</v>
      </c>
      <c r="F2">
        <v>4200</v>
      </c>
      <c r="G2">
        <v>10</v>
      </c>
      <c r="H2" t="s">
        <v>41</v>
      </c>
      <c r="I2" s="14">
        <v>449.3</v>
      </c>
      <c r="J2" s="14">
        <v>451.2</v>
      </c>
      <c r="K2" s="14">
        <v>25.332278939999998</v>
      </c>
      <c r="L2" s="14">
        <v>0.64329366399999999</v>
      </c>
      <c r="M2" s="14">
        <v>450.19438450000001</v>
      </c>
      <c r="N2" s="14">
        <v>0.97453022700000003</v>
      </c>
      <c r="O2" s="14">
        <v>0.46169681299999998</v>
      </c>
      <c r="P2" s="21">
        <v>9.6381966706545404E-5</v>
      </c>
      <c r="Q2" s="14">
        <v>-0.26689333799999998</v>
      </c>
      <c r="R2">
        <v>0</v>
      </c>
      <c r="S2" t="b">
        <v>1</v>
      </c>
      <c r="T2" s="1">
        <v>45322.666666666664</v>
      </c>
      <c r="U2" s="1">
        <v>45338.666666666664</v>
      </c>
      <c r="V2" s="14">
        <v>4.3835616438356165E-2</v>
      </c>
      <c r="W2">
        <v>3.7900000000000003E-2</v>
      </c>
      <c r="X2">
        <v>0.2</v>
      </c>
      <c r="Y2" s="14">
        <v>0.10468171389545848</v>
      </c>
      <c r="Z2" s="14">
        <v>5.7900000000000007E-2</v>
      </c>
      <c r="AA2" s="14">
        <v>4.3835616438356165E-2</v>
      </c>
      <c r="AB2" s="14">
        <v>4.1873913807217097E-2</v>
      </c>
      <c r="AC2" s="14">
        <v>2.5605391600333198</v>
      </c>
      <c r="AD2" s="14">
        <v>0.99477450577837079</v>
      </c>
      <c r="AE2" s="14">
        <v>5.2254942216292243E-3</v>
      </c>
      <c r="AF2">
        <v>1.7899999999999999E-2</v>
      </c>
      <c r="AG2" s="14">
        <v>2.5186652462261025</v>
      </c>
      <c r="AH2" s="14">
        <v>0.99410997034866655</v>
      </c>
      <c r="AI2" s="14">
        <v>5.8900296513334071E-3</v>
      </c>
      <c r="AJ2" s="14">
        <v>470.79992749866778</v>
      </c>
      <c r="AK2" s="14" t="s">
        <v>42</v>
      </c>
      <c r="AL2" s="14">
        <v>470.79992749866778</v>
      </c>
      <c r="AM2" s="14">
        <v>2.5605391600333198</v>
      </c>
      <c r="AN2" s="14">
        <v>2.5186652462261025</v>
      </c>
    </row>
    <row r="3" spans="1:40" x14ac:dyDescent="0.25">
      <c r="A3" s="1">
        <v>45322.666666666664</v>
      </c>
      <c r="B3">
        <v>20240216</v>
      </c>
      <c r="C3">
        <v>4663.5</v>
      </c>
      <c r="D3">
        <v>4648.2287960000003</v>
      </c>
      <c r="E3" t="s">
        <v>42</v>
      </c>
      <c r="F3">
        <v>4225</v>
      </c>
      <c r="G3">
        <v>10</v>
      </c>
      <c r="H3" t="s">
        <v>41</v>
      </c>
      <c r="I3" s="14">
        <v>424.5</v>
      </c>
      <c r="J3" s="14">
        <v>426.5</v>
      </c>
      <c r="K3" s="14">
        <v>24.462944090000001</v>
      </c>
      <c r="L3" s="14">
        <v>0.64329366399999999</v>
      </c>
      <c r="M3" s="14">
        <v>425.43441580000001</v>
      </c>
      <c r="N3" s="14">
        <v>0.97185476699999995</v>
      </c>
      <c r="O3" s="14">
        <v>0.51172052899999998</v>
      </c>
      <c r="P3" s="14">
        <v>1.06963E-4</v>
      </c>
      <c r="Q3" s="14">
        <v>-0.27621297</v>
      </c>
      <c r="R3">
        <v>0</v>
      </c>
      <c r="S3" t="b">
        <v>1</v>
      </c>
      <c r="T3" s="1">
        <v>45322.666666666664</v>
      </c>
      <c r="U3" s="1">
        <v>45338.666666666664</v>
      </c>
      <c r="V3" s="14">
        <v>4.3835616438356165E-2</v>
      </c>
      <c r="W3">
        <v>3.7900000000000003E-2</v>
      </c>
      <c r="X3">
        <v>0.2</v>
      </c>
      <c r="Y3" s="14">
        <v>9.8746978375643946E-2</v>
      </c>
      <c r="Z3" s="14">
        <v>5.7900000000000007E-2</v>
      </c>
      <c r="AA3" s="14">
        <v>4.3835616438356165E-2</v>
      </c>
      <c r="AB3" s="14">
        <v>4.1873913807217097E-2</v>
      </c>
      <c r="AC3" s="14">
        <v>2.4188104564032411</v>
      </c>
      <c r="AD3" s="14">
        <v>0.9922143241707343</v>
      </c>
      <c r="AE3" s="14">
        <v>7.7856758292656888E-3</v>
      </c>
      <c r="AF3">
        <v>1.7899999999999999E-2</v>
      </c>
      <c r="AG3" s="14">
        <v>2.3769365425960238</v>
      </c>
      <c r="AH3" s="14">
        <v>0.99127145447143383</v>
      </c>
      <c r="AI3" s="14">
        <v>8.7285455285661707E-3</v>
      </c>
      <c r="AJ3" s="14">
        <v>446.02184840521022</v>
      </c>
      <c r="AK3" s="14" t="s">
        <v>42</v>
      </c>
      <c r="AL3" s="14">
        <v>446.02184840521022</v>
      </c>
      <c r="AM3" s="14">
        <v>2.4188104564032411</v>
      </c>
      <c r="AN3" s="14">
        <v>2.3769365425960238</v>
      </c>
    </row>
    <row r="4" spans="1:40" x14ac:dyDescent="0.25">
      <c r="A4" s="1">
        <v>45322.666666666664</v>
      </c>
      <c r="B4">
        <v>20240216</v>
      </c>
      <c r="C4">
        <v>4663.5</v>
      </c>
      <c r="D4">
        <v>4648.2287960000003</v>
      </c>
      <c r="E4" t="s">
        <v>42</v>
      </c>
      <c r="F4">
        <v>4250</v>
      </c>
      <c r="G4">
        <v>10</v>
      </c>
      <c r="H4" t="s">
        <v>41</v>
      </c>
      <c r="I4" s="14">
        <v>399.8</v>
      </c>
      <c r="J4" s="14">
        <v>401.8</v>
      </c>
      <c r="K4" s="14">
        <v>23.611115550000001</v>
      </c>
      <c r="L4" s="14">
        <v>0.64329366399999999</v>
      </c>
      <c r="M4" s="14">
        <v>400.71529909999998</v>
      </c>
      <c r="N4" s="14">
        <v>0.96862701399999995</v>
      </c>
      <c r="O4" s="14">
        <v>0.57047107900000005</v>
      </c>
      <c r="P4" s="14">
        <v>1.30195E-4</v>
      </c>
      <c r="Q4" s="14">
        <v>-0.31320021999999997</v>
      </c>
      <c r="R4">
        <v>0</v>
      </c>
      <c r="S4" t="b">
        <v>1</v>
      </c>
      <c r="T4" s="1">
        <v>45322.666666666664</v>
      </c>
      <c r="U4" s="1">
        <v>45338.666666666664</v>
      </c>
      <c r="V4" s="14">
        <v>4.3835616438356165E-2</v>
      </c>
      <c r="W4">
        <v>3.7900000000000003E-2</v>
      </c>
      <c r="X4">
        <v>0.2</v>
      </c>
      <c r="Y4" s="14">
        <v>9.284725624845562E-2</v>
      </c>
      <c r="Z4" s="14">
        <v>5.7900000000000007E-2</v>
      </c>
      <c r="AA4" s="14">
        <v>4.3835616438356165E-2</v>
      </c>
      <c r="AB4" s="14">
        <v>4.1873913807217097E-2</v>
      </c>
      <c r="AC4" s="14">
        <v>2.2779179151817543</v>
      </c>
      <c r="AD4" s="14">
        <v>0.98863426566053425</v>
      </c>
      <c r="AE4" s="14">
        <v>1.1365734339465758E-2</v>
      </c>
      <c r="AF4">
        <v>1.7899999999999999E-2</v>
      </c>
      <c r="AG4" s="14">
        <v>2.2360440013745371</v>
      </c>
      <c r="AH4" s="14">
        <v>0.98732555548981238</v>
      </c>
      <c r="AI4" s="14">
        <v>1.2674444510187604E-2</v>
      </c>
      <c r="AJ4" s="14">
        <v>421.32782922534898</v>
      </c>
      <c r="AK4" s="14" t="s">
        <v>42</v>
      </c>
      <c r="AL4" s="14">
        <v>421.32782922534898</v>
      </c>
      <c r="AM4" s="14">
        <v>2.2779179151817543</v>
      </c>
      <c r="AN4" s="14">
        <v>2.2360440013745371</v>
      </c>
    </row>
    <row r="5" spans="1:40" x14ac:dyDescent="0.25">
      <c r="A5" s="1">
        <v>45322.666666666664</v>
      </c>
      <c r="B5">
        <v>20240216</v>
      </c>
      <c r="C5">
        <v>4663.5</v>
      </c>
      <c r="D5">
        <v>4648.2287960000003</v>
      </c>
      <c r="E5" t="s">
        <v>42</v>
      </c>
      <c r="F5">
        <v>4275</v>
      </c>
      <c r="G5">
        <v>10</v>
      </c>
      <c r="H5" t="s">
        <v>41</v>
      </c>
      <c r="I5" s="14">
        <v>375.1</v>
      </c>
      <c r="J5" s="14">
        <v>377.1</v>
      </c>
      <c r="K5" s="14">
        <v>22.776515570000001</v>
      </c>
      <c r="L5" s="14">
        <v>0.64329366399999999</v>
      </c>
      <c r="M5" s="14">
        <v>376.0470325</v>
      </c>
      <c r="N5" s="14">
        <v>0.96471163500000001</v>
      </c>
      <c r="O5" s="14">
        <v>0.63963221800000003</v>
      </c>
      <c r="P5" s="14">
        <v>1.5933899999999999E-4</v>
      </c>
      <c r="Q5" s="14">
        <v>-0.35668940900000001</v>
      </c>
      <c r="R5">
        <v>0</v>
      </c>
      <c r="S5" t="b">
        <v>1</v>
      </c>
      <c r="T5" s="1">
        <v>45322.666666666664</v>
      </c>
      <c r="U5" s="1">
        <v>45338.666666666664</v>
      </c>
      <c r="V5" s="14">
        <v>4.3835616438356165E-2</v>
      </c>
      <c r="W5">
        <v>3.7900000000000003E-2</v>
      </c>
      <c r="X5">
        <v>0.2</v>
      </c>
      <c r="Y5" s="14">
        <v>8.6982136796057569E-2</v>
      </c>
      <c r="Z5" s="14">
        <v>5.7900000000000007E-2</v>
      </c>
      <c r="AA5" s="14">
        <v>4.3835616438356165E-2</v>
      </c>
      <c r="AB5" s="14">
        <v>4.1873913807217097E-2</v>
      </c>
      <c r="AC5" s="14">
        <v>2.1378517279273117</v>
      </c>
      <c r="AD5" s="14">
        <v>0.98373561043141244</v>
      </c>
      <c r="AE5" s="14">
        <v>1.6264389568587539E-2</v>
      </c>
      <c r="AF5">
        <v>1.7899999999999999E-2</v>
      </c>
      <c r="AG5" s="14">
        <v>2.0959778141200944</v>
      </c>
      <c r="AH5" s="14">
        <v>0.98195792046647823</v>
      </c>
      <c r="AI5" s="14">
        <v>1.8042079533521722E-2</v>
      </c>
      <c r="AJ5" s="14">
        <v>396.7493339740513</v>
      </c>
      <c r="AK5" s="14" t="s">
        <v>42</v>
      </c>
      <c r="AL5" s="14">
        <v>396.7493339740513</v>
      </c>
      <c r="AM5" s="14">
        <v>2.1378517279273117</v>
      </c>
      <c r="AN5" s="14">
        <v>2.0959778141200944</v>
      </c>
    </row>
    <row r="6" spans="1:40" x14ac:dyDescent="0.25">
      <c r="A6" s="1">
        <v>45322.666666666664</v>
      </c>
      <c r="B6">
        <v>20240216</v>
      </c>
      <c r="C6">
        <v>4663.5</v>
      </c>
      <c r="D6">
        <v>4648.2287960000003</v>
      </c>
      <c r="E6" t="s">
        <v>42</v>
      </c>
      <c r="F6">
        <v>4300</v>
      </c>
      <c r="G6">
        <v>10</v>
      </c>
      <c r="H6" t="s">
        <v>41</v>
      </c>
      <c r="I6" s="14">
        <v>350.5</v>
      </c>
      <c r="J6" s="14">
        <v>352.5</v>
      </c>
      <c r="K6" s="14">
        <v>21.95887213</v>
      </c>
      <c r="L6" s="14">
        <v>0.64329366399999999</v>
      </c>
      <c r="M6" s="14">
        <v>351.44250299999999</v>
      </c>
      <c r="N6" s="14">
        <v>0.95993604700000001</v>
      </c>
      <c r="O6" s="14">
        <v>0.72120241299999999</v>
      </c>
      <c r="P6" s="14">
        <v>1.9652100000000001E-4</v>
      </c>
      <c r="Q6" s="14">
        <v>-0.40890435600000002</v>
      </c>
      <c r="R6">
        <v>0</v>
      </c>
      <c r="S6" t="b">
        <v>1</v>
      </c>
      <c r="T6" s="1">
        <v>45322.666666666664</v>
      </c>
      <c r="U6" s="1">
        <v>45338.666666666664</v>
      </c>
      <c r="V6" s="14">
        <v>4.3835616438356165E-2</v>
      </c>
      <c r="W6">
        <v>3.7900000000000003E-2</v>
      </c>
      <c r="X6">
        <v>0.2</v>
      </c>
      <c r="Y6" s="14">
        <v>8.115121648526448E-2</v>
      </c>
      <c r="Z6" s="14">
        <v>5.7900000000000007E-2</v>
      </c>
      <c r="AA6" s="14">
        <v>4.3835616438356165E-2</v>
      </c>
      <c r="AB6" s="14">
        <v>4.1873913807217097E-2</v>
      </c>
      <c r="AC6" s="14">
        <v>1.9986022577765634</v>
      </c>
      <c r="AD6" s="14">
        <v>0.97717429704325531</v>
      </c>
      <c r="AE6" s="14">
        <v>2.2825702956744666E-2</v>
      </c>
      <c r="AF6">
        <v>1.7899999999999999E-2</v>
      </c>
      <c r="AG6" s="14">
        <v>1.9567283439693461</v>
      </c>
      <c r="AH6" s="14">
        <v>0.97481029218856396</v>
      </c>
      <c r="AI6" s="14">
        <v>2.5189707811436018E-2</v>
      </c>
      <c r="AJ6" s="14">
        <v>372.32623411324494</v>
      </c>
      <c r="AK6" s="14" t="s">
        <v>42</v>
      </c>
      <c r="AL6" s="14">
        <v>372.32623411324494</v>
      </c>
      <c r="AM6" s="14">
        <v>1.9986022577765634</v>
      </c>
      <c r="AN6" s="14">
        <v>1.9567283439693461</v>
      </c>
    </row>
    <row r="7" spans="1:40" x14ac:dyDescent="0.25">
      <c r="A7" s="1">
        <v>45322.666666666664</v>
      </c>
      <c r="B7">
        <v>20240216</v>
      </c>
      <c r="C7">
        <v>4663.5</v>
      </c>
      <c r="D7">
        <v>4648.2287960000003</v>
      </c>
      <c r="E7" t="s">
        <v>42</v>
      </c>
      <c r="F7">
        <v>4325</v>
      </c>
      <c r="G7">
        <v>10</v>
      </c>
      <c r="H7" t="s">
        <v>41</v>
      </c>
      <c r="I7" s="14">
        <v>325.89999999999998</v>
      </c>
      <c r="J7" s="14">
        <v>327.9</v>
      </c>
      <c r="K7" s="14">
        <v>21.161437060000001</v>
      </c>
      <c r="L7" s="14">
        <v>0.64329366399999999</v>
      </c>
      <c r="M7" s="14">
        <v>326.9212794</v>
      </c>
      <c r="N7" s="14">
        <v>0.95405495799999995</v>
      </c>
      <c r="O7" s="14">
        <v>0.81792645399999997</v>
      </c>
      <c r="P7" s="14">
        <v>2.44591E-4</v>
      </c>
      <c r="Q7" s="14">
        <v>-0.47263317500000002</v>
      </c>
      <c r="R7">
        <v>0</v>
      </c>
      <c r="S7" t="b">
        <v>1</v>
      </c>
      <c r="T7" s="1">
        <v>45322.666666666664</v>
      </c>
      <c r="U7" s="1">
        <v>45338.666666666664</v>
      </c>
      <c r="V7" s="14">
        <v>4.3835616438356165E-2</v>
      </c>
      <c r="W7">
        <v>3.7900000000000003E-2</v>
      </c>
      <c r="X7">
        <v>0.2</v>
      </c>
      <c r="Y7" s="14">
        <v>7.535409880093849E-2</v>
      </c>
      <c r="Z7" s="14">
        <v>5.7900000000000007E-2</v>
      </c>
      <c r="AA7" s="14">
        <v>4.3835616438356165E-2</v>
      </c>
      <c r="AB7" s="14">
        <v>4.1873913807217097E-2</v>
      </c>
      <c r="AC7" s="14">
        <v>1.8601600354656689</v>
      </c>
      <c r="AD7" s="14">
        <v>0.96856855630624061</v>
      </c>
      <c r="AE7" s="14">
        <v>3.1431443693759359E-2</v>
      </c>
      <c r="AF7">
        <v>1.7899999999999999E-2</v>
      </c>
      <c r="AG7" s="14">
        <v>1.8182861216584516</v>
      </c>
      <c r="AH7" s="14">
        <v>0.9654897935666148</v>
      </c>
      <c r="AI7" s="14">
        <v>3.4510206433385225E-2</v>
      </c>
      <c r="AJ7" s="14">
        <v>348.10779967927101</v>
      </c>
      <c r="AK7" s="14" t="s">
        <v>42</v>
      </c>
      <c r="AL7" s="14">
        <v>348.10779967927101</v>
      </c>
      <c r="AM7" s="14">
        <v>1.8601600354656689</v>
      </c>
      <c r="AN7" s="14">
        <v>1.8182861216584516</v>
      </c>
    </row>
    <row r="8" spans="1:40" x14ac:dyDescent="0.25">
      <c r="A8" s="1">
        <v>45322.666666666664</v>
      </c>
      <c r="B8">
        <v>20240216</v>
      </c>
      <c r="C8">
        <v>4663.5</v>
      </c>
      <c r="D8">
        <v>4648.2287960000003</v>
      </c>
      <c r="E8" t="s">
        <v>42</v>
      </c>
      <c r="F8">
        <v>4350</v>
      </c>
      <c r="G8">
        <v>10</v>
      </c>
      <c r="H8" t="s">
        <v>41</v>
      </c>
      <c r="I8" s="14">
        <v>301.5</v>
      </c>
      <c r="J8" s="14">
        <v>303.5</v>
      </c>
      <c r="K8" s="14">
        <v>20.387386589999998</v>
      </c>
      <c r="L8" s="14">
        <v>0.64329366399999999</v>
      </c>
      <c r="M8" s="14">
        <v>302.50948929999998</v>
      </c>
      <c r="N8" s="14">
        <v>0.94674934099999997</v>
      </c>
      <c r="O8" s="14">
        <v>0.93302755199999998</v>
      </c>
      <c r="P8" s="14">
        <v>3.06275E-4</v>
      </c>
      <c r="Q8" s="14">
        <v>-0.54932380999999997</v>
      </c>
      <c r="R8">
        <v>0</v>
      </c>
      <c r="S8" t="b">
        <v>1</v>
      </c>
      <c r="T8" s="1">
        <v>45322.666666666664</v>
      </c>
      <c r="U8" s="1">
        <v>45338.666666666664</v>
      </c>
      <c r="V8" s="14">
        <v>4.3835616438356165E-2</v>
      </c>
      <c r="W8">
        <v>3.7900000000000003E-2</v>
      </c>
      <c r="X8">
        <v>0.2</v>
      </c>
      <c r="Y8" s="14">
        <v>6.9590394084188337E-2</v>
      </c>
      <c r="Z8" s="14">
        <v>5.7900000000000007E-2</v>
      </c>
      <c r="AA8" s="14">
        <v>4.3835616438356165E-2</v>
      </c>
      <c r="AB8" s="14">
        <v>4.1873913807217097E-2</v>
      </c>
      <c r="AC8" s="14">
        <v>1.7225157554662969</v>
      </c>
      <c r="AD8" s="14">
        <v>0.95751193440092763</v>
      </c>
      <c r="AE8" s="14">
        <v>4.2488065599072415E-2</v>
      </c>
      <c r="AF8">
        <v>1.7899999999999999E-2</v>
      </c>
      <c r="AG8" s="14">
        <v>1.6806418416590796</v>
      </c>
      <c r="AH8" s="14">
        <v>0.95358374829300219</v>
      </c>
      <c r="AI8" s="14">
        <v>4.6416251706997778E-2</v>
      </c>
      <c r="AJ8" s="14">
        <v>324.15339005967871</v>
      </c>
      <c r="AK8" s="14" t="s">
        <v>42</v>
      </c>
      <c r="AL8" s="14">
        <v>324.15339005967871</v>
      </c>
      <c r="AM8" s="14">
        <v>1.7225157554662969</v>
      </c>
      <c r="AN8" s="14">
        <v>1.6806418416590796</v>
      </c>
    </row>
    <row r="9" spans="1:40" x14ac:dyDescent="0.25">
      <c r="A9" s="1">
        <v>45322.666666666664</v>
      </c>
      <c r="B9">
        <v>20240216</v>
      </c>
      <c r="C9">
        <v>4663.5</v>
      </c>
      <c r="D9">
        <v>4648.2287960000003</v>
      </c>
      <c r="E9" t="s">
        <v>42</v>
      </c>
      <c r="F9">
        <v>4375</v>
      </c>
      <c r="G9">
        <v>10</v>
      </c>
      <c r="H9" t="s">
        <v>41</v>
      </c>
      <c r="I9" s="14">
        <v>277.2</v>
      </c>
      <c r="J9" s="14">
        <v>279.3</v>
      </c>
      <c r="K9" s="14">
        <v>19.636345339999998</v>
      </c>
      <c r="L9" s="14">
        <v>0.64329366399999999</v>
      </c>
      <c r="M9" s="14">
        <v>278.23841220000003</v>
      </c>
      <c r="N9" s="14">
        <v>0.93763755000000004</v>
      </c>
      <c r="O9" s="14">
        <v>1.0697103889999999</v>
      </c>
      <c r="P9" s="14">
        <v>3.84884E-4</v>
      </c>
      <c r="Q9" s="14">
        <v>-0.640389392</v>
      </c>
      <c r="R9">
        <v>0</v>
      </c>
      <c r="S9" t="b">
        <v>1</v>
      </c>
      <c r="T9" s="1">
        <v>45322.666666666664</v>
      </c>
      <c r="U9" s="1">
        <v>45338.666666666664</v>
      </c>
      <c r="V9" s="14">
        <v>4.3835616438356165E-2</v>
      </c>
      <c r="W9">
        <v>3.7900000000000003E-2</v>
      </c>
      <c r="X9">
        <v>0.2</v>
      </c>
      <c r="Y9" s="14">
        <v>6.3859719375203336E-2</v>
      </c>
      <c r="Z9" s="14">
        <v>5.7900000000000007E-2</v>
      </c>
      <c r="AA9" s="14">
        <v>4.3835616438356165E-2</v>
      </c>
      <c r="AB9" s="14">
        <v>4.1873913807217097E-2</v>
      </c>
      <c r="AC9" s="14">
        <v>1.5856602722323103</v>
      </c>
      <c r="AD9" s="14">
        <v>0.94359180210586557</v>
      </c>
      <c r="AE9" s="14">
        <v>5.6408197894134454E-2</v>
      </c>
      <c r="AF9">
        <v>1.7899999999999999E-2</v>
      </c>
      <c r="AG9" s="14">
        <v>1.543786358425093</v>
      </c>
      <c r="AH9" s="14">
        <v>0.9386799514208819</v>
      </c>
      <c r="AI9" s="14">
        <v>6.1320048579118054E-2</v>
      </c>
      <c r="AJ9" s="14">
        <v>300.53270600143878</v>
      </c>
      <c r="AK9" s="14" t="s">
        <v>42</v>
      </c>
      <c r="AL9" s="14">
        <v>300.53270600143878</v>
      </c>
      <c r="AM9" s="14">
        <v>1.5856602722323103</v>
      </c>
      <c r="AN9" s="14">
        <v>1.543786358425093</v>
      </c>
    </row>
    <row r="10" spans="1:40" x14ac:dyDescent="0.25">
      <c r="A10" s="1">
        <v>45322.666666666664</v>
      </c>
      <c r="B10">
        <v>20240216</v>
      </c>
      <c r="C10">
        <v>4663.5</v>
      </c>
      <c r="D10">
        <v>4648.2287960000003</v>
      </c>
      <c r="E10" t="s">
        <v>42</v>
      </c>
      <c r="F10">
        <v>4400</v>
      </c>
      <c r="G10">
        <v>10</v>
      </c>
      <c r="H10" t="s">
        <v>41</v>
      </c>
      <c r="I10" s="14">
        <v>253.2</v>
      </c>
      <c r="J10" s="14">
        <v>255.2</v>
      </c>
      <c r="K10" s="14">
        <v>18.90794558</v>
      </c>
      <c r="L10" s="14">
        <v>0.64329366399999999</v>
      </c>
      <c r="M10" s="14">
        <v>254.14909800000001</v>
      </c>
      <c r="N10" s="14">
        <v>0.92623614600000004</v>
      </c>
      <c r="O10" s="14">
        <v>1.2313655590000001</v>
      </c>
      <c r="P10" s="14">
        <v>4.8493199999999998E-4</v>
      </c>
      <c r="Q10" s="14">
        <v>-0.74810522800000001</v>
      </c>
      <c r="R10">
        <v>0</v>
      </c>
      <c r="S10" t="b">
        <v>1</v>
      </c>
      <c r="T10" s="1">
        <v>45322.666666666664</v>
      </c>
      <c r="U10" s="1">
        <v>45338.666666666664</v>
      </c>
      <c r="V10" s="14">
        <v>4.3835616438356165E-2</v>
      </c>
      <c r="W10">
        <v>3.7900000000000003E-2</v>
      </c>
      <c r="X10">
        <v>0.2</v>
      </c>
      <c r="Y10" s="14">
        <v>5.8161698260565602E-2</v>
      </c>
      <c r="Z10" s="14">
        <v>5.7900000000000007E-2</v>
      </c>
      <c r="AA10" s="14">
        <v>4.3835616438356165E-2</v>
      </c>
      <c r="AB10" s="14">
        <v>4.1873913807217097E-2</v>
      </c>
      <c r="AC10" s="14">
        <v>1.4495845965533949</v>
      </c>
      <c r="AD10" s="14">
        <v>0.92641280300704909</v>
      </c>
      <c r="AE10" s="14">
        <v>7.3587196992950923E-2</v>
      </c>
      <c r="AF10">
        <v>1.7899999999999999E-2</v>
      </c>
      <c r="AG10" s="14">
        <v>1.4077106827461778</v>
      </c>
      <c r="AH10" s="14">
        <v>0.9203916213729626</v>
      </c>
      <c r="AI10" s="14">
        <v>7.9608378627037443E-2</v>
      </c>
      <c r="AJ10" s="14">
        <v>277.32547492329286</v>
      </c>
      <c r="AK10" s="14" t="s">
        <v>42</v>
      </c>
      <c r="AL10" s="14">
        <v>277.32547492329286</v>
      </c>
      <c r="AM10" s="14">
        <v>1.4495845965533949</v>
      </c>
      <c r="AN10" s="14">
        <v>1.4077106827461778</v>
      </c>
    </row>
    <row r="11" spans="1:40" x14ac:dyDescent="0.25">
      <c r="A11" s="1">
        <v>45322.666666666664</v>
      </c>
      <c r="B11">
        <v>20240216</v>
      </c>
      <c r="C11">
        <v>4663.5</v>
      </c>
      <c r="D11">
        <v>4648.2287960000003</v>
      </c>
      <c r="E11" t="s">
        <v>42</v>
      </c>
      <c r="F11">
        <v>4425</v>
      </c>
      <c r="G11">
        <v>10</v>
      </c>
      <c r="H11" t="s">
        <v>41</v>
      </c>
      <c r="I11" s="14">
        <v>229.3</v>
      </c>
      <c r="J11" s="14">
        <v>231.3</v>
      </c>
      <c r="K11" s="14">
        <v>18.20182698</v>
      </c>
      <c r="L11" s="14">
        <v>0.64329366399999999</v>
      </c>
      <c r="M11" s="14">
        <v>230.29535970000001</v>
      </c>
      <c r="N11" s="14">
        <v>0.91193892499999996</v>
      </c>
      <c r="O11" s="14">
        <v>1.421287959</v>
      </c>
      <c r="P11" s="14">
        <v>6.1180299999999996E-4</v>
      </c>
      <c r="Q11" s="14">
        <v>-0.87465125700000002</v>
      </c>
      <c r="R11">
        <v>0</v>
      </c>
      <c r="S11" t="b">
        <v>1</v>
      </c>
      <c r="T11" s="1">
        <v>45322.666666666664</v>
      </c>
      <c r="U11" s="1">
        <v>45338.666666666664</v>
      </c>
      <c r="V11" s="14">
        <v>4.3835616438356165E-2</v>
      </c>
      <c r="W11">
        <v>3.7900000000000003E-2</v>
      </c>
      <c r="X11">
        <v>0.2</v>
      </c>
      <c r="Y11" s="14">
        <v>5.2495960724888234E-2</v>
      </c>
      <c r="Z11" s="14">
        <v>5.7900000000000007E-2</v>
      </c>
      <c r="AA11" s="14">
        <v>4.3835616438356165E-2</v>
      </c>
      <c r="AB11" s="14">
        <v>4.1873913807217097E-2</v>
      </c>
      <c r="AC11" s="14">
        <v>1.3142798920119994</v>
      </c>
      <c r="AD11" s="14">
        <v>0.90562398424842205</v>
      </c>
      <c r="AE11" s="14">
        <v>9.4376015751577946E-2</v>
      </c>
      <c r="AF11">
        <v>1.7899999999999999E-2</v>
      </c>
      <c r="AG11" s="14">
        <v>1.2724059782047823</v>
      </c>
      <c r="AH11" s="14">
        <v>0.89838554445202878</v>
      </c>
      <c r="AI11" s="14">
        <v>0.10161445554797117</v>
      </c>
      <c r="AJ11" s="14">
        <v>254.62046980012428</v>
      </c>
      <c r="AK11" s="14" t="s">
        <v>42</v>
      </c>
      <c r="AL11" s="14">
        <v>254.62046980012428</v>
      </c>
      <c r="AM11" s="14">
        <v>1.3142798920119994</v>
      </c>
      <c r="AN11" s="14">
        <v>1.2724059782047823</v>
      </c>
    </row>
    <row r="12" spans="1:40" x14ac:dyDescent="0.25">
      <c r="A12" s="1">
        <v>45322.666666666664</v>
      </c>
      <c r="B12">
        <v>20240216</v>
      </c>
      <c r="C12">
        <v>4663.5</v>
      </c>
      <c r="D12">
        <v>4648.2287960000003</v>
      </c>
      <c r="E12" t="s">
        <v>42</v>
      </c>
      <c r="F12">
        <v>4450</v>
      </c>
      <c r="G12">
        <v>10</v>
      </c>
      <c r="H12" t="s">
        <v>41</v>
      </c>
      <c r="I12" s="14">
        <v>205.9</v>
      </c>
      <c r="J12" s="14">
        <v>207.8</v>
      </c>
      <c r="K12" s="14">
        <v>17.51763652</v>
      </c>
      <c r="L12" s="14">
        <v>0.64329366399999999</v>
      </c>
      <c r="M12" s="14">
        <v>206.74750929999999</v>
      </c>
      <c r="N12" s="14">
        <v>0.89399724300000005</v>
      </c>
      <c r="O12" s="14">
        <v>1.642175867</v>
      </c>
      <c r="P12" s="14">
        <v>7.7161899999999997E-4</v>
      </c>
      <c r="Q12" s="14">
        <v>-1.0217564139999999</v>
      </c>
      <c r="R12">
        <v>0</v>
      </c>
      <c r="S12" t="b">
        <v>1</v>
      </c>
      <c r="T12" s="1">
        <v>45322.666666666664</v>
      </c>
      <c r="U12" s="1">
        <v>45338.666666666664</v>
      </c>
      <c r="V12" s="14">
        <v>4.3835616438356165E-2</v>
      </c>
      <c r="W12">
        <v>3.7900000000000003E-2</v>
      </c>
      <c r="X12">
        <v>0.2</v>
      </c>
      <c r="Y12" s="14">
        <v>4.6862143006632197E-2</v>
      </c>
      <c r="Z12" s="14">
        <v>5.7900000000000007E-2</v>
      </c>
      <c r="AA12" s="14">
        <v>4.3835616438356165E-2</v>
      </c>
      <c r="AB12" s="14">
        <v>4.1873913807217097E-2</v>
      </c>
      <c r="AC12" s="14">
        <v>1.1797374715400675</v>
      </c>
      <c r="AD12" s="14">
        <v>0.88094767722962275</v>
      </c>
      <c r="AE12" s="14">
        <v>0.11905232277037719</v>
      </c>
      <c r="AF12">
        <v>1.7899999999999999E-2</v>
      </c>
      <c r="AG12" s="14">
        <v>1.1378635577328504</v>
      </c>
      <c r="AH12" s="14">
        <v>0.87241126981455919</v>
      </c>
      <c r="AI12" s="14">
        <v>0.12758873018544076</v>
      </c>
      <c r="AJ12" s="14">
        <v>232.51380745658935</v>
      </c>
      <c r="AK12" s="14" t="s">
        <v>42</v>
      </c>
      <c r="AL12" s="14">
        <v>232.51380745658935</v>
      </c>
      <c r="AM12" s="14">
        <v>1.1797374715400675</v>
      </c>
      <c r="AN12" s="14">
        <v>1.1378635577328504</v>
      </c>
    </row>
    <row r="13" spans="1:40" x14ac:dyDescent="0.25">
      <c r="A13" s="1">
        <v>45322.666666666664</v>
      </c>
      <c r="B13">
        <v>20240216</v>
      </c>
      <c r="C13">
        <v>4663.5</v>
      </c>
      <c r="D13">
        <v>4648.2287960000003</v>
      </c>
      <c r="E13" t="s">
        <v>42</v>
      </c>
      <c r="F13">
        <v>4475</v>
      </c>
      <c r="G13">
        <v>10</v>
      </c>
      <c r="H13" t="s">
        <v>41</v>
      </c>
      <c r="I13" s="14">
        <v>182.7</v>
      </c>
      <c r="J13" s="14">
        <v>184.7</v>
      </c>
      <c r="K13" s="14">
        <v>16.8550282</v>
      </c>
      <c r="L13" s="14">
        <v>0.64329366399999999</v>
      </c>
      <c r="M13" s="14">
        <v>183.5968507</v>
      </c>
      <c r="N13" s="14">
        <v>0.87150695499999997</v>
      </c>
      <c r="O13" s="14">
        <v>1.89531965</v>
      </c>
      <c r="P13" s="14">
        <v>9.7082899999999998E-4</v>
      </c>
      <c r="Q13" s="14">
        <v>-1.190131649</v>
      </c>
      <c r="R13">
        <v>0</v>
      </c>
      <c r="S13" t="b">
        <v>1</v>
      </c>
      <c r="T13" s="1">
        <v>45322.666666666664</v>
      </c>
      <c r="U13" s="1">
        <v>45338.666666666664</v>
      </c>
      <c r="V13" s="14">
        <v>4.3835616438356165E-2</v>
      </c>
      <c r="W13">
        <v>3.7900000000000003E-2</v>
      </c>
      <c r="X13">
        <v>0.2</v>
      </c>
      <c r="Y13" s="14">
        <v>4.1259887457962517E-2</v>
      </c>
      <c r="Z13" s="14">
        <v>5.7900000000000007E-2</v>
      </c>
      <c r="AA13" s="14">
        <v>4.3835616438356165E-2</v>
      </c>
      <c r="AB13" s="14">
        <v>4.1873913807217097E-2</v>
      </c>
      <c r="AC13" s="14">
        <v>1.0459487940722327</v>
      </c>
      <c r="AD13" s="14">
        <v>0.85220766271109682</v>
      </c>
      <c r="AE13" s="14">
        <v>0.14779233728890312</v>
      </c>
      <c r="AF13">
        <v>1.7899999999999999E-2</v>
      </c>
      <c r="AG13" s="14">
        <v>1.0040748802650157</v>
      </c>
      <c r="AH13" s="14">
        <v>0.84232873888465709</v>
      </c>
      <c r="AI13" s="14">
        <v>0.15767126111534294</v>
      </c>
      <c r="AJ13" s="14">
        <v>211.10653196788871</v>
      </c>
      <c r="AK13" s="14" t="s">
        <v>42</v>
      </c>
      <c r="AL13" s="14">
        <v>211.10653196788871</v>
      </c>
      <c r="AM13" s="14">
        <v>1.0459487940722327</v>
      </c>
      <c r="AN13" s="14">
        <v>1.0040748802650157</v>
      </c>
    </row>
    <row r="14" spans="1:40" x14ac:dyDescent="0.25">
      <c r="A14" s="1">
        <v>45322.666666666664</v>
      </c>
      <c r="B14">
        <v>20240216</v>
      </c>
      <c r="C14">
        <v>4663.5</v>
      </c>
      <c r="D14">
        <v>4648.2287960000003</v>
      </c>
      <c r="E14" t="s">
        <v>42</v>
      </c>
      <c r="F14">
        <v>4500</v>
      </c>
      <c r="G14">
        <v>10</v>
      </c>
      <c r="H14" t="s">
        <v>41</v>
      </c>
      <c r="I14" s="14">
        <v>160.19999999999999</v>
      </c>
      <c r="J14" s="14">
        <v>162</v>
      </c>
      <c r="K14" s="14">
        <v>16.213662970000001</v>
      </c>
      <c r="L14" s="14">
        <v>0.64329366399999999</v>
      </c>
      <c r="M14" s="14">
        <v>160.96079080000001</v>
      </c>
      <c r="N14" s="14">
        <v>0.84341110200000002</v>
      </c>
      <c r="O14" s="14">
        <v>2.1793897900000001</v>
      </c>
      <c r="P14" s="14">
        <v>1.2153310000000001E-3</v>
      </c>
      <c r="Q14" s="14">
        <v>-1.3786376979999999</v>
      </c>
      <c r="R14">
        <v>0</v>
      </c>
      <c r="S14" t="b">
        <v>1</v>
      </c>
      <c r="T14" s="1">
        <v>45322.666666666664</v>
      </c>
      <c r="U14" s="1">
        <v>45338.666666666664</v>
      </c>
      <c r="V14" s="14">
        <v>4.3835616438356165E-2</v>
      </c>
      <c r="W14">
        <v>3.7900000000000003E-2</v>
      </c>
      <c r="X14">
        <v>0.2</v>
      </c>
      <c r="Y14" s="14">
        <v>3.5688842408507067E-2</v>
      </c>
      <c r="Z14" s="14">
        <v>5.7900000000000007E-2</v>
      </c>
      <c r="AA14" s="14">
        <v>4.3835616438356165E-2</v>
      </c>
      <c r="AB14" s="14">
        <v>4.1873913807217097E-2</v>
      </c>
      <c r="AC14" s="14">
        <v>0.91290546129221295</v>
      </c>
      <c r="AD14" s="14">
        <v>0.81935386750461681</v>
      </c>
      <c r="AE14" s="14">
        <v>0.18064613249538317</v>
      </c>
      <c r="AF14">
        <v>1.7899999999999999E-2</v>
      </c>
      <c r="AG14" s="14">
        <v>0.87103154748499589</v>
      </c>
      <c r="AH14" s="14">
        <v>0.80813153601045684</v>
      </c>
      <c r="AI14" s="14">
        <v>0.19186846398954316</v>
      </c>
      <c r="AJ14" s="14">
        <v>190.50155727641004</v>
      </c>
      <c r="AK14" s="14" t="s">
        <v>42</v>
      </c>
      <c r="AL14" s="14">
        <v>190.50155727641004</v>
      </c>
      <c r="AM14" s="14">
        <v>0.91290546129221295</v>
      </c>
      <c r="AN14" s="14">
        <v>0.87103154748499589</v>
      </c>
    </row>
    <row r="15" spans="1:40" x14ac:dyDescent="0.25">
      <c r="A15" s="1">
        <v>45322.666666666664</v>
      </c>
      <c r="B15">
        <v>20240216</v>
      </c>
      <c r="C15">
        <v>4663.5</v>
      </c>
      <c r="D15">
        <v>4648.2287960000003</v>
      </c>
      <c r="E15" t="s">
        <v>42</v>
      </c>
      <c r="F15">
        <v>4525</v>
      </c>
      <c r="G15">
        <v>10</v>
      </c>
      <c r="H15" t="s">
        <v>41</v>
      </c>
      <c r="I15" s="14">
        <v>138.19999999999999</v>
      </c>
      <c r="J15" s="14">
        <v>140</v>
      </c>
      <c r="K15" s="14">
        <v>15.593208450000001</v>
      </c>
      <c r="L15" s="14">
        <v>0.64329366399999999</v>
      </c>
      <c r="M15" s="14">
        <v>138.98813490000001</v>
      </c>
      <c r="N15" s="14">
        <v>0.80853257300000003</v>
      </c>
      <c r="O15" s="14">
        <v>2.4887760120000002</v>
      </c>
      <c r="P15" s="14">
        <v>1.5120820000000001E-3</v>
      </c>
      <c r="Q15" s="14">
        <v>-1.5864986670000001</v>
      </c>
      <c r="R15">
        <v>0</v>
      </c>
      <c r="S15" t="b">
        <v>1</v>
      </c>
      <c r="T15" s="1">
        <v>45322.666666666664</v>
      </c>
      <c r="U15" s="1">
        <v>45338.666666666664</v>
      </c>
      <c r="V15" s="14">
        <v>4.3835616438356165E-2</v>
      </c>
      <c r="W15">
        <v>3.7900000000000003E-2</v>
      </c>
      <c r="X15">
        <v>0.2</v>
      </c>
      <c r="Y15" s="14">
        <v>3.0148662032891679E-2</v>
      </c>
      <c r="Z15" s="14">
        <v>5.7900000000000007E-2</v>
      </c>
      <c r="AA15" s="14">
        <v>4.3835616438356165E-2</v>
      </c>
      <c r="AB15" s="14">
        <v>4.1873913807217097E-2</v>
      </c>
      <c r="AC15" s="14">
        <v>0.7805992144693874</v>
      </c>
      <c r="AD15" s="14">
        <v>0.78248087303009761</v>
      </c>
      <c r="AE15" s="14">
        <v>0.21751912696990233</v>
      </c>
      <c r="AF15">
        <v>1.7899999999999999E-2</v>
      </c>
      <c r="AG15" s="14">
        <v>0.73872530066217024</v>
      </c>
      <c r="AH15" s="14">
        <v>0.76996309036662924</v>
      </c>
      <c r="AI15" s="14">
        <v>0.23003690963337076</v>
      </c>
      <c r="AJ15" s="14">
        <v>170.80011230273522</v>
      </c>
      <c r="AK15" s="14" t="s">
        <v>42</v>
      </c>
      <c r="AL15" s="14">
        <v>170.80011230273522</v>
      </c>
      <c r="AM15" s="14">
        <v>0.7805992144693874</v>
      </c>
      <c r="AN15" s="14">
        <v>0.73872530066217024</v>
      </c>
    </row>
    <row r="16" spans="1:40" x14ac:dyDescent="0.25">
      <c r="A16" s="1">
        <v>45322.666666666664</v>
      </c>
      <c r="B16">
        <v>20240216</v>
      </c>
      <c r="C16">
        <v>4663.5</v>
      </c>
      <c r="D16">
        <v>4648.2287960000003</v>
      </c>
      <c r="E16" t="s">
        <v>42</v>
      </c>
      <c r="F16">
        <v>4550</v>
      </c>
      <c r="G16">
        <v>10</v>
      </c>
      <c r="H16" t="s">
        <v>41</v>
      </c>
      <c r="I16" s="14">
        <v>117.2</v>
      </c>
      <c r="J16" s="14">
        <v>118.9</v>
      </c>
      <c r="K16" s="14">
        <v>15.004803430000001</v>
      </c>
      <c r="L16" s="14">
        <v>0.64329366399999999</v>
      </c>
      <c r="M16" s="14">
        <v>117.8958993</v>
      </c>
      <c r="N16" s="14">
        <v>0.76549293600000001</v>
      </c>
      <c r="O16" s="14">
        <v>2.8126691930000001</v>
      </c>
      <c r="P16" s="14">
        <v>1.862091E-3</v>
      </c>
      <c r="Q16" s="14">
        <v>-1.8090682950000001</v>
      </c>
      <c r="R16">
        <v>0</v>
      </c>
      <c r="S16" t="b">
        <v>1</v>
      </c>
      <c r="T16" s="1">
        <v>45322.666666666664</v>
      </c>
      <c r="U16" s="1">
        <v>45338.666666666664</v>
      </c>
      <c r="V16" s="14">
        <v>4.3835616438356165E-2</v>
      </c>
      <c r="W16">
        <v>3.7900000000000003E-2</v>
      </c>
      <c r="X16">
        <v>0.2</v>
      </c>
      <c r="Y16" s="14">
        <v>2.4639006221922093E-2</v>
      </c>
      <c r="Z16" s="14">
        <v>5.7900000000000007E-2</v>
      </c>
      <c r="AA16" s="14">
        <v>4.3835616438356165E-2</v>
      </c>
      <c r="AB16" s="14">
        <v>4.1873913807217097E-2</v>
      </c>
      <c r="AC16" s="14">
        <v>0.64902193138246511</v>
      </c>
      <c r="AD16" s="14">
        <v>0.74183789968151459</v>
      </c>
      <c r="AE16" s="14">
        <v>0.25816210031848541</v>
      </c>
      <c r="AF16">
        <v>1.7899999999999999E-2</v>
      </c>
      <c r="AG16" s="14">
        <v>0.60714801757524806</v>
      </c>
      <c r="AH16" s="14">
        <v>0.72812365689505554</v>
      </c>
      <c r="AI16" s="14">
        <v>0.27187634310494441</v>
      </c>
      <c r="AJ16" s="14">
        <v>152.09789297208681</v>
      </c>
      <c r="AK16" s="14" t="s">
        <v>42</v>
      </c>
      <c r="AL16" s="14">
        <v>152.09789297208681</v>
      </c>
      <c r="AM16" s="14">
        <v>0.64902193138246511</v>
      </c>
      <c r="AN16" s="14">
        <v>0.60714801757524806</v>
      </c>
    </row>
    <row r="17" spans="1:40" x14ac:dyDescent="0.25">
      <c r="A17" s="1">
        <v>45322.666666666664</v>
      </c>
      <c r="B17">
        <v>20240216</v>
      </c>
      <c r="C17">
        <v>4663.5</v>
      </c>
      <c r="D17">
        <v>4648.2287960000003</v>
      </c>
      <c r="E17" t="s">
        <v>42</v>
      </c>
      <c r="F17">
        <v>4575</v>
      </c>
      <c r="G17">
        <v>10</v>
      </c>
      <c r="H17" t="s">
        <v>41</v>
      </c>
      <c r="I17" s="14">
        <v>97.2</v>
      </c>
      <c r="J17" s="14">
        <v>98.8</v>
      </c>
      <c r="K17" s="14">
        <v>14.45934214</v>
      </c>
      <c r="L17" s="14">
        <v>0.64329366399999999</v>
      </c>
      <c r="M17" s="14">
        <v>97.953073029999999</v>
      </c>
      <c r="N17" s="14">
        <v>0.71310552199999999</v>
      </c>
      <c r="O17" s="14">
        <v>3.130463073</v>
      </c>
      <c r="P17" s="14">
        <v>2.2485420000000001E-3</v>
      </c>
      <c r="Q17" s="14">
        <v>-2.028576878</v>
      </c>
      <c r="R17">
        <v>0</v>
      </c>
      <c r="S17" t="b">
        <v>1</v>
      </c>
      <c r="T17" s="1">
        <v>45322.666666666664</v>
      </c>
      <c r="U17" s="1">
        <v>45338.666666666664</v>
      </c>
      <c r="V17" s="14">
        <v>4.3835616438356165E-2</v>
      </c>
      <c r="W17">
        <v>3.7900000000000003E-2</v>
      </c>
      <c r="X17">
        <v>0.2</v>
      </c>
      <c r="Y17" s="14">
        <v>1.9159540457296443E-2</v>
      </c>
      <c r="Z17" s="14">
        <v>5.7900000000000007E-2</v>
      </c>
      <c r="AA17" s="14">
        <v>4.3835616438356165E-2</v>
      </c>
      <c r="AB17" s="14">
        <v>4.1873913807217097E-2</v>
      </c>
      <c r="AC17" s="14">
        <v>0.51816562332746674</v>
      </c>
      <c r="AD17" s="14">
        <v>0.69782864128842081</v>
      </c>
      <c r="AE17" s="14">
        <v>0.30217135871157919</v>
      </c>
      <c r="AF17">
        <v>1.7899999999999999E-2</v>
      </c>
      <c r="AG17" s="14">
        <v>0.47629170952024968</v>
      </c>
      <c r="AH17" s="14">
        <v>0.6830667145439242</v>
      </c>
      <c r="AI17" s="14">
        <v>0.31693328545607574</v>
      </c>
      <c r="AJ17" s="14">
        <v>134.48117024859448</v>
      </c>
      <c r="AK17" s="14" t="s">
        <v>42</v>
      </c>
      <c r="AL17" s="14">
        <v>134.48117024859448</v>
      </c>
      <c r="AM17" s="14">
        <v>0.51816562332746674</v>
      </c>
      <c r="AN17" s="14">
        <v>0.47629170952024968</v>
      </c>
    </row>
    <row r="18" spans="1:40" x14ac:dyDescent="0.25">
      <c r="A18" s="1">
        <v>45322.666666666664</v>
      </c>
      <c r="B18">
        <v>20240216</v>
      </c>
      <c r="C18">
        <v>4663.5</v>
      </c>
      <c r="D18">
        <v>4648.2287960000003</v>
      </c>
      <c r="E18" t="s">
        <v>42</v>
      </c>
      <c r="F18">
        <v>4600</v>
      </c>
      <c r="G18">
        <v>10</v>
      </c>
      <c r="H18" t="s">
        <v>41</v>
      </c>
      <c r="I18" s="14">
        <v>78.7</v>
      </c>
      <c r="J18" s="14">
        <v>80.2</v>
      </c>
      <c r="K18" s="14">
        <v>13.956140660000001</v>
      </c>
      <c r="L18" s="14">
        <v>0.64329366399999999</v>
      </c>
      <c r="M18" s="14">
        <v>79.434831520000003</v>
      </c>
      <c r="N18" s="14">
        <v>0.65089102399999998</v>
      </c>
      <c r="O18" s="14">
        <v>3.4097443869999999</v>
      </c>
      <c r="P18" s="14">
        <v>2.639883E-3</v>
      </c>
      <c r="Q18" s="14">
        <v>-2.2187517259999998</v>
      </c>
      <c r="R18">
        <v>0</v>
      </c>
      <c r="S18" t="b">
        <v>1</v>
      </c>
      <c r="T18" s="1">
        <v>45322.666666666664</v>
      </c>
      <c r="U18" s="1">
        <v>45338.666666666664</v>
      </c>
      <c r="V18" s="14">
        <v>4.3835616438356165E-2</v>
      </c>
      <c r="W18">
        <v>3.7900000000000003E-2</v>
      </c>
      <c r="X18">
        <v>0.2</v>
      </c>
      <c r="Y18" s="14">
        <v>1.3709935689731839E-2</v>
      </c>
      <c r="Z18" s="14">
        <v>5.7900000000000007E-2</v>
      </c>
      <c r="AA18" s="14">
        <v>4.3835616438356165E-2</v>
      </c>
      <c r="AB18" s="14">
        <v>4.1873913807217097E-2</v>
      </c>
      <c r="AC18" s="14">
        <v>0.38802243220723892</v>
      </c>
      <c r="AD18" s="14">
        <v>0.65100028342543215</v>
      </c>
      <c r="AE18" s="14">
        <v>0.34899971657456785</v>
      </c>
      <c r="AF18">
        <v>1.7899999999999999E-2</v>
      </c>
      <c r="AG18" s="14">
        <v>0.34614851840002181</v>
      </c>
      <c r="AH18" s="14">
        <v>0.63538444892342627</v>
      </c>
      <c r="AI18" s="14">
        <v>0.36461555107657373</v>
      </c>
      <c r="AJ18" s="14">
        <v>118.02312474457131</v>
      </c>
      <c r="AK18" s="14" t="s">
        <v>42</v>
      </c>
      <c r="AL18" s="14">
        <v>118.02312474457131</v>
      </c>
      <c r="AM18" s="14">
        <v>0.38802243220723892</v>
      </c>
      <c r="AN18" s="14">
        <v>0.34614851840002181</v>
      </c>
    </row>
    <row r="19" spans="1:40" x14ac:dyDescent="0.25">
      <c r="A19" s="1">
        <v>45322.666666666664</v>
      </c>
      <c r="B19">
        <v>20240216</v>
      </c>
      <c r="C19">
        <v>4663.5</v>
      </c>
      <c r="D19">
        <v>4648.2287960000003</v>
      </c>
      <c r="E19" t="s">
        <v>42</v>
      </c>
      <c r="F19">
        <v>4625</v>
      </c>
      <c r="G19">
        <v>10</v>
      </c>
      <c r="H19" t="s">
        <v>41</v>
      </c>
      <c r="I19" s="14">
        <v>62</v>
      </c>
      <c r="J19" s="14">
        <v>63.2</v>
      </c>
      <c r="K19" s="14">
        <v>13.49452851</v>
      </c>
      <c r="L19" s="14">
        <v>0.64329366399999999</v>
      </c>
      <c r="M19" s="14">
        <v>62.629016839999998</v>
      </c>
      <c r="N19" s="14">
        <v>0.57928930099999998</v>
      </c>
      <c r="O19" s="14">
        <v>3.6098760140000001</v>
      </c>
      <c r="P19" s="14">
        <v>2.9924679999999999E-3</v>
      </c>
      <c r="Q19" s="14">
        <v>-2.3514645679999999</v>
      </c>
      <c r="R19">
        <v>0</v>
      </c>
      <c r="S19" t="b">
        <v>1</v>
      </c>
      <c r="T19" s="1">
        <v>45322.666666666664</v>
      </c>
      <c r="U19" s="1">
        <v>45338.666666666664</v>
      </c>
      <c r="V19" s="14">
        <v>4.3835616438356165E-2</v>
      </c>
      <c r="W19">
        <v>3.7900000000000003E-2</v>
      </c>
      <c r="X19">
        <v>0.2</v>
      </c>
      <c r="Y19" s="14">
        <v>8.289868220392585E-3</v>
      </c>
      <c r="Z19" s="14">
        <v>5.7900000000000007E-2</v>
      </c>
      <c r="AA19" s="14">
        <v>4.3835616438356165E-2</v>
      </c>
      <c r="AB19" s="14">
        <v>4.1873913807217097E-2</v>
      </c>
      <c r="AC19" s="14">
        <v>0.25858462769981577</v>
      </c>
      <c r="AD19" s="14">
        <v>0.60202212737228455</v>
      </c>
      <c r="AE19" s="14">
        <v>0.39797787262771545</v>
      </c>
      <c r="AF19">
        <v>1.7899999999999999E-2</v>
      </c>
      <c r="AG19" s="14">
        <v>0.21671071389259863</v>
      </c>
      <c r="AH19" s="14">
        <v>0.58578310103045861</v>
      </c>
      <c r="AI19" s="14">
        <v>0.41421689896954134</v>
      </c>
      <c r="AJ19" s="14">
        <v>102.78067289613</v>
      </c>
      <c r="AK19" s="14" t="s">
        <v>42</v>
      </c>
      <c r="AL19" s="14">
        <v>102.78067289613</v>
      </c>
      <c r="AM19" s="14">
        <v>0.25858462769981577</v>
      </c>
      <c r="AN19" s="14">
        <v>0.21671071389259863</v>
      </c>
    </row>
    <row r="20" spans="1:40" x14ac:dyDescent="0.25">
      <c r="A20" s="1">
        <v>45322.666666666664</v>
      </c>
      <c r="B20">
        <v>20240216</v>
      </c>
      <c r="C20">
        <v>4663.5</v>
      </c>
      <c r="D20">
        <v>4648.2287960000003</v>
      </c>
      <c r="E20" t="s">
        <v>42</v>
      </c>
      <c r="F20">
        <v>4650</v>
      </c>
      <c r="G20">
        <v>10</v>
      </c>
      <c r="H20" t="s">
        <v>41</v>
      </c>
      <c r="I20" s="14">
        <v>47.5</v>
      </c>
      <c r="J20" s="14">
        <v>48</v>
      </c>
      <c r="K20" s="14">
        <v>13.102048699999999</v>
      </c>
      <c r="L20" s="14">
        <v>0.64329366399999999</v>
      </c>
      <c r="M20" s="14">
        <v>47.908902410000003</v>
      </c>
      <c r="N20" s="14">
        <v>0.50002208699999995</v>
      </c>
      <c r="O20" s="14">
        <v>3.6881835010000001</v>
      </c>
      <c r="P20" s="14">
        <v>3.2373240000000002E-3</v>
      </c>
      <c r="Q20" s="14">
        <v>-2.398048492</v>
      </c>
      <c r="R20">
        <v>0</v>
      </c>
      <c r="S20" t="b">
        <v>1</v>
      </c>
      <c r="T20" s="1">
        <v>45322.666666666664</v>
      </c>
      <c r="U20" s="1">
        <v>45338.666666666664</v>
      </c>
      <c r="V20" s="14">
        <v>4.3835616438356165E-2</v>
      </c>
      <c r="W20">
        <v>3.7900000000000003E-2</v>
      </c>
      <c r="X20">
        <v>0.2</v>
      </c>
      <c r="Y20" s="14">
        <v>2.8990195855162215E-3</v>
      </c>
      <c r="Z20" s="14">
        <v>5.7900000000000007E-2</v>
      </c>
      <c r="AA20" s="14">
        <v>4.3835616438356165E-2</v>
      </c>
      <c r="AB20" s="14">
        <v>4.1873913807217097E-2</v>
      </c>
      <c r="AC20" s="14">
        <v>0.12984460450314875</v>
      </c>
      <c r="AD20" s="14">
        <v>0.55165531384087352</v>
      </c>
      <c r="AE20" s="14">
        <v>0.44834468615912643</v>
      </c>
      <c r="AF20">
        <v>1.7899999999999999E-2</v>
      </c>
      <c r="AG20" s="14">
        <v>8.797069069593165E-2</v>
      </c>
      <c r="AH20" s="14">
        <v>0.53505001437925315</v>
      </c>
      <c r="AI20" s="14">
        <v>0.4649499856207468</v>
      </c>
      <c r="AJ20" s="14">
        <v>88.792016788062938</v>
      </c>
      <c r="AK20" s="14" t="s">
        <v>42</v>
      </c>
      <c r="AL20" s="14">
        <v>88.792016788062938</v>
      </c>
      <c r="AM20" s="14">
        <v>0.12984460450314875</v>
      </c>
      <c r="AN20" s="14">
        <v>8.797069069593165E-2</v>
      </c>
    </row>
    <row r="21" spans="1:40" x14ac:dyDescent="0.25">
      <c r="A21" s="1">
        <v>45322.666666666664</v>
      </c>
      <c r="B21">
        <v>20240216</v>
      </c>
      <c r="C21">
        <v>4663.5</v>
      </c>
      <c r="D21">
        <v>4648.2287960000003</v>
      </c>
      <c r="E21" t="s">
        <v>42</v>
      </c>
      <c r="F21">
        <v>4675</v>
      </c>
      <c r="G21">
        <v>10</v>
      </c>
      <c r="H21" t="s">
        <v>41</v>
      </c>
      <c r="I21" s="14">
        <v>35.200000000000003</v>
      </c>
      <c r="J21" s="14">
        <v>35.799999999999997</v>
      </c>
      <c r="K21" s="14">
        <v>12.805653</v>
      </c>
      <c r="L21" s="14">
        <v>0.64329366399999999</v>
      </c>
      <c r="M21" s="14">
        <v>35.57691896</v>
      </c>
      <c r="N21" s="14">
        <v>0.41695318599999998</v>
      </c>
      <c r="O21" s="14">
        <v>3.6119201809999999</v>
      </c>
      <c r="P21" s="14">
        <v>3.3007459999999998E-3</v>
      </c>
      <c r="Q21" s="14">
        <v>-2.3356568719999999</v>
      </c>
      <c r="R21">
        <v>0</v>
      </c>
      <c r="S21" t="b">
        <v>1</v>
      </c>
      <c r="T21" s="1">
        <v>45322.666666666664</v>
      </c>
      <c r="U21" s="1">
        <v>45338.666666666664</v>
      </c>
      <c r="V21" s="14">
        <v>4.3835616438356165E-2</v>
      </c>
      <c r="W21">
        <v>3.7900000000000003E-2</v>
      </c>
      <c r="X21">
        <v>0.2</v>
      </c>
      <c r="Y21" s="14">
        <v>-2.4629235558691633E-3</v>
      </c>
      <c r="Z21" s="14">
        <v>5.7900000000000007E-2</v>
      </c>
      <c r="AA21" s="14">
        <v>4.3835616438356165E-2</v>
      </c>
      <c r="AB21" s="14">
        <v>4.1873913807217097E-2</v>
      </c>
      <c r="AC21" s="14">
        <v>1.7948796536593409E-3</v>
      </c>
      <c r="AD21" s="14">
        <v>0.50071605299760513</v>
      </c>
      <c r="AE21" s="14">
        <v>0.49928394700239492</v>
      </c>
      <c r="AF21">
        <v>1.7899999999999999E-2</v>
      </c>
      <c r="AG21" s="14">
        <v>-4.0079034153557763E-2</v>
      </c>
      <c r="AH21" s="14">
        <v>0.48401505834551667</v>
      </c>
      <c r="AI21" s="14">
        <v>0.51598494165448328</v>
      </c>
      <c r="AJ21" s="14">
        <v>76.075092870805747</v>
      </c>
      <c r="AK21" s="14" t="s">
        <v>42</v>
      </c>
      <c r="AL21" s="14">
        <v>76.075092870805747</v>
      </c>
      <c r="AM21" s="14">
        <v>1.7948796536593409E-3</v>
      </c>
      <c r="AN21" s="14">
        <v>-4.0079034153557763E-2</v>
      </c>
    </row>
    <row r="22" spans="1:40" x14ac:dyDescent="0.25">
      <c r="A22" s="1">
        <v>45322.666666666664</v>
      </c>
      <c r="B22">
        <v>20240216</v>
      </c>
      <c r="C22">
        <v>4663.5</v>
      </c>
      <c r="D22">
        <v>4648.2287960000003</v>
      </c>
      <c r="E22" t="s">
        <v>42</v>
      </c>
      <c r="F22">
        <v>4700</v>
      </c>
      <c r="G22">
        <v>10</v>
      </c>
      <c r="H22" t="s">
        <v>41</v>
      </c>
      <c r="I22" s="14">
        <v>25.5</v>
      </c>
      <c r="J22" s="14">
        <v>26</v>
      </c>
      <c r="K22" s="14">
        <v>12.60381662</v>
      </c>
      <c r="L22" s="14">
        <v>0.64329366399999999</v>
      </c>
      <c r="M22" s="14">
        <v>25.68141662</v>
      </c>
      <c r="N22" s="14">
        <v>0.33539074200000002</v>
      </c>
      <c r="O22" s="14">
        <v>3.3760061709999998</v>
      </c>
      <c r="P22" s="14">
        <v>3.151671E-3</v>
      </c>
      <c r="Q22" s="14">
        <v>-2.16042135</v>
      </c>
      <c r="R22">
        <v>0</v>
      </c>
      <c r="S22" t="b">
        <v>1</v>
      </c>
      <c r="T22" s="1">
        <v>45322.666666666664</v>
      </c>
      <c r="U22" s="1">
        <v>45338.666666666664</v>
      </c>
      <c r="V22" s="14">
        <v>4.3835616438356165E-2</v>
      </c>
      <c r="W22">
        <v>3.7900000000000003E-2</v>
      </c>
      <c r="X22">
        <v>0.2</v>
      </c>
      <c r="Y22" s="14">
        <v>-7.7962695312317754E-3</v>
      </c>
      <c r="Z22" s="14">
        <v>5.7900000000000007E-2</v>
      </c>
      <c r="AA22" s="14">
        <v>4.3835616438356165E-2</v>
      </c>
      <c r="AB22" s="14">
        <v>4.1873913807217097E-2</v>
      </c>
      <c r="AC22" s="14">
        <v>-0.12557191008366378</v>
      </c>
      <c r="AD22" s="14">
        <v>0.45003539970931694</v>
      </c>
      <c r="AE22" s="14">
        <v>0.54996460029068306</v>
      </c>
      <c r="AF22">
        <v>1.7899999999999999E-2</v>
      </c>
      <c r="AG22" s="14">
        <v>-0.16744582389088089</v>
      </c>
      <c r="AH22" s="14">
        <v>0.43350963592646663</v>
      </c>
      <c r="AI22" s="14">
        <v>0.56649036407353337</v>
      </c>
      <c r="AJ22" s="14">
        <v>64.627020619365794</v>
      </c>
      <c r="AK22" s="14" t="s">
        <v>42</v>
      </c>
      <c r="AL22" s="14">
        <v>64.627020619365794</v>
      </c>
      <c r="AM22" s="14">
        <v>-0.12557191008366378</v>
      </c>
      <c r="AN22" s="14">
        <v>-0.16744582389088089</v>
      </c>
    </row>
    <row r="23" spans="1:40" x14ac:dyDescent="0.25">
      <c r="A23" s="1">
        <v>45322.666666666664</v>
      </c>
      <c r="B23">
        <v>20240216</v>
      </c>
      <c r="C23">
        <v>4663.5</v>
      </c>
      <c r="D23">
        <v>4648.2287960000003</v>
      </c>
      <c r="E23" t="s">
        <v>42</v>
      </c>
      <c r="F23">
        <v>4725</v>
      </c>
      <c r="G23">
        <v>10</v>
      </c>
      <c r="H23" t="s">
        <v>41</v>
      </c>
      <c r="I23" s="14">
        <v>18</v>
      </c>
      <c r="J23" s="14">
        <v>18.5</v>
      </c>
      <c r="K23" s="14">
        <v>12.495044310000001</v>
      </c>
      <c r="L23" s="14">
        <v>0.64329366399999999</v>
      </c>
      <c r="M23" s="14">
        <v>18.091011250000001</v>
      </c>
      <c r="N23" s="14">
        <v>0.26059342000000002</v>
      </c>
      <c r="O23" s="14">
        <v>3.0097791950000001</v>
      </c>
      <c r="P23" s="14">
        <v>2.819939E-3</v>
      </c>
      <c r="Q23" s="14">
        <v>-1.899803495</v>
      </c>
      <c r="R23">
        <v>0</v>
      </c>
      <c r="S23" t="b">
        <v>1</v>
      </c>
      <c r="T23" s="1">
        <v>45322.666666666664</v>
      </c>
      <c r="U23" s="1">
        <v>45338.666666666664</v>
      </c>
      <c r="V23" s="14">
        <v>4.3835616438356165E-2</v>
      </c>
      <c r="W23">
        <v>3.7900000000000003E-2</v>
      </c>
      <c r="X23">
        <v>0.2</v>
      </c>
      <c r="Y23" s="14">
        <v>-1.3101321760924956E-2</v>
      </c>
      <c r="Z23" s="14">
        <v>5.7900000000000007E-2</v>
      </c>
      <c r="AA23" s="14">
        <v>4.3835616438356165E-2</v>
      </c>
      <c r="AB23" s="14">
        <v>4.1873913807217097E-2</v>
      </c>
      <c r="AC23" s="14">
        <v>-0.25226301075595964</v>
      </c>
      <c r="AD23" s="14">
        <v>0.4004188884360973</v>
      </c>
      <c r="AE23" s="14">
        <v>0.5995811115639027</v>
      </c>
      <c r="AF23">
        <v>1.7899999999999999E-2</v>
      </c>
      <c r="AG23" s="14">
        <v>-0.29413692456317675</v>
      </c>
      <c r="AH23" s="14">
        <v>0.38432663823750102</v>
      </c>
      <c r="AI23" s="14">
        <v>0.61567336176249898</v>
      </c>
      <c r="AJ23" s="14">
        <v>54.424569379634249</v>
      </c>
      <c r="AK23" s="14" t="s">
        <v>42</v>
      </c>
      <c r="AL23" s="14">
        <v>54.424569379634249</v>
      </c>
      <c r="AM23" s="14">
        <v>-0.25226301075595964</v>
      </c>
      <c r="AN23" s="14">
        <v>-0.29413692456317675</v>
      </c>
    </row>
    <row r="24" spans="1:40" x14ac:dyDescent="0.25">
      <c r="A24" s="1">
        <v>45322.666666666664</v>
      </c>
      <c r="B24">
        <v>20240216</v>
      </c>
      <c r="C24">
        <v>4663.5</v>
      </c>
      <c r="D24">
        <v>4648.2287960000003</v>
      </c>
      <c r="E24" t="s">
        <v>42</v>
      </c>
      <c r="F24">
        <v>4750</v>
      </c>
      <c r="G24">
        <v>10</v>
      </c>
      <c r="H24" t="s">
        <v>41</v>
      </c>
      <c r="I24" s="14">
        <v>12.4</v>
      </c>
      <c r="J24" s="14">
        <v>12.8</v>
      </c>
      <c r="K24" s="14">
        <v>12.465173679999999</v>
      </c>
      <c r="L24" s="14">
        <v>0.64329366399999999</v>
      </c>
      <c r="M24" s="14">
        <v>12.48685</v>
      </c>
      <c r="N24" s="14">
        <v>0.19622900900000001</v>
      </c>
      <c r="O24" s="14">
        <v>2.5662014960000001</v>
      </c>
      <c r="P24" s="14">
        <v>2.3780250000000002E-3</v>
      </c>
      <c r="Q24" s="14">
        <v>-1.5944339759999999</v>
      </c>
      <c r="R24">
        <v>0</v>
      </c>
      <c r="S24" t="b">
        <v>1</v>
      </c>
      <c r="T24" s="1">
        <v>45322.666666666664</v>
      </c>
      <c r="U24" s="1">
        <v>45338.666666666664</v>
      </c>
      <c r="V24" s="14">
        <v>4.3835616438356165E-2</v>
      </c>
      <c r="W24">
        <v>3.7900000000000003E-2</v>
      </c>
      <c r="X24">
        <v>0.2</v>
      </c>
      <c r="Y24" s="14">
        <v>-1.8378378861768681E-2</v>
      </c>
      <c r="Z24" s="14">
        <v>5.7900000000000007E-2</v>
      </c>
      <c r="AA24" s="14">
        <v>4.3835616438356165E-2</v>
      </c>
      <c r="AB24" s="14">
        <v>4.1873913807217097E-2</v>
      </c>
      <c r="AC24" s="14">
        <v>-0.37828555369614714</v>
      </c>
      <c r="AD24" s="14">
        <v>0.35260923798464328</v>
      </c>
      <c r="AE24" s="14">
        <v>0.64739076201535672</v>
      </c>
      <c r="AF24">
        <v>1.7899999999999999E-2</v>
      </c>
      <c r="AG24" s="14">
        <v>-0.42015946750336419</v>
      </c>
      <c r="AH24" s="14">
        <v>0.33718448127258099</v>
      </c>
      <c r="AI24" s="14">
        <v>0.66281551872741895</v>
      </c>
      <c r="AJ24" s="14">
        <v>45.425579799384877</v>
      </c>
      <c r="AK24" s="14" t="s">
        <v>42</v>
      </c>
      <c r="AL24" s="14">
        <v>45.425579799384877</v>
      </c>
      <c r="AM24" s="14">
        <v>-0.37828555369614714</v>
      </c>
      <c r="AN24" s="14">
        <v>-0.42015946750336419</v>
      </c>
    </row>
    <row r="25" spans="1:40" x14ac:dyDescent="0.25">
      <c r="A25" s="1">
        <v>45322.666666666664</v>
      </c>
      <c r="B25">
        <v>20240216</v>
      </c>
      <c r="C25">
        <v>4663.5</v>
      </c>
      <c r="D25">
        <v>4648.2287960000003</v>
      </c>
      <c r="E25" t="s">
        <v>42</v>
      </c>
      <c r="F25">
        <v>4775</v>
      </c>
      <c r="G25">
        <v>10</v>
      </c>
      <c r="H25" t="s">
        <v>41</v>
      </c>
      <c r="I25" s="14">
        <v>8.3000000000000007</v>
      </c>
      <c r="J25" s="14">
        <v>8.6999999999999993</v>
      </c>
      <c r="K25" s="14">
        <v>12.50033672</v>
      </c>
      <c r="L25" s="14">
        <v>0.64329366399999999</v>
      </c>
      <c r="M25" s="14">
        <v>8.4825640789999994</v>
      </c>
      <c r="N25" s="14">
        <v>0.14385741599999999</v>
      </c>
      <c r="O25" s="14">
        <v>2.1028059020000001</v>
      </c>
      <c r="P25" s="14">
        <v>1.900821E-3</v>
      </c>
      <c r="Q25" s="14">
        <v>-1.2816754319999999</v>
      </c>
      <c r="R25">
        <v>0</v>
      </c>
      <c r="S25" t="b">
        <v>1</v>
      </c>
      <c r="T25" s="1">
        <v>45322.666666666664</v>
      </c>
      <c r="U25" s="1">
        <v>45338.666666666664</v>
      </c>
      <c r="V25" s="14">
        <v>4.3835616438356165E-2</v>
      </c>
      <c r="W25">
        <v>3.7900000000000003E-2</v>
      </c>
      <c r="X25">
        <v>0.2</v>
      </c>
      <c r="Y25" s="14">
        <v>-2.3627734747912386E-2</v>
      </c>
      <c r="Z25" s="14">
        <v>5.7900000000000007E-2</v>
      </c>
      <c r="AA25" s="14">
        <v>4.3835616438356165E-2</v>
      </c>
      <c r="AB25" s="14">
        <v>4.1873913807217097E-2</v>
      </c>
      <c r="AC25" s="14">
        <v>-0.50364655793165192</v>
      </c>
      <c r="AD25" s="14">
        <v>0.30725488463361411</v>
      </c>
      <c r="AE25" s="14">
        <v>0.69274511536638594</v>
      </c>
      <c r="AF25">
        <v>1.7899999999999999E-2</v>
      </c>
      <c r="AG25" s="14">
        <v>-0.54552047173886897</v>
      </c>
      <c r="AH25" s="14">
        <v>0.29269780231880338</v>
      </c>
      <c r="AI25" s="14">
        <v>0.70730219768119662</v>
      </c>
      <c r="AJ25" s="14">
        <v>37.571204341905968</v>
      </c>
      <c r="AK25" s="14" t="s">
        <v>42</v>
      </c>
      <c r="AL25" s="14">
        <v>37.571204341905968</v>
      </c>
      <c r="AM25" s="14">
        <v>-0.50364655793165192</v>
      </c>
      <c r="AN25" s="14">
        <v>-0.54552047173886897</v>
      </c>
    </row>
    <row r="26" spans="1:40" x14ac:dyDescent="0.25">
      <c r="A26" s="1">
        <v>45322.666666666664</v>
      </c>
      <c r="B26">
        <v>20240216</v>
      </c>
      <c r="C26">
        <v>4663.5</v>
      </c>
      <c r="D26">
        <v>4648.2287960000003</v>
      </c>
      <c r="E26" t="s">
        <v>42</v>
      </c>
      <c r="F26">
        <v>4800</v>
      </c>
      <c r="G26">
        <v>10</v>
      </c>
      <c r="H26" t="s">
        <v>41</v>
      </c>
      <c r="I26" s="14">
        <v>5.5</v>
      </c>
      <c r="J26" s="14">
        <v>5.9</v>
      </c>
      <c r="K26" s="14">
        <v>12.599516339999999</v>
      </c>
      <c r="L26" s="14">
        <v>0.64329366399999999</v>
      </c>
      <c r="M26" s="14">
        <v>5.7154668969999998</v>
      </c>
      <c r="N26" s="14">
        <v>0.103407244</v>
      </c>
      <c r="O26" s="14">
        <v>1.6684081239999999</v>
      </c>
      <c r="P26" s="14">
        <v>1.4481800000000001E-3</v>
      </c>
      <c r="Q26" s="14">
        <v>-0.99202761800000006</v>
      </c>
      <c r="R26">
        <v>0</v>
      </c>
      <c r="S26" t="b">
        <v>1</v>
      </c>
      <c r="T26" s="1">
        <v>45322.666666666664</v>
      </c>
      <c r="U26" s="1">
        <v>45338.666666666664</v>
      </c>
      <c r="V26" s="14">
        <v>4.3835616438356165E-2</v>
      </c>
      <c r="W26">
        <v>3.7900000000000003E-2</v>
      </c>
      <c r="X26">
        <v>0.2</v>
      </c>
      <c r="Y26" s="14">
        <v>-2.8849678729064108E-2</v>
      </c>
      <c r="Z26" s="14">
        <v>5.7900000000000007E-2</v>
      </c>
      <c r="AA26" s="14">
        <v>4.3835616438356165E-2</v>
      </c>
      <c r="AB26" s="14">
        <v>4.1873913807217097E-2</v>
      </c>
      <c r="AC26" s="14">
        <v>-0.62835293253023805</v>
      </c>
      <c r="AD26" s="14">
        <v>0.2648863816021354</v>
      </c>
      <c r="AE26" s="14">
        <v>0.7351136183978646</v>
      </c>
      <c r="AF26">
        <v>1.7899999999999999E-2</v>
      </c>
      <c r="AG26" s="14">
        <v>-0.67022684633745511</v>
      </c>
      <c r="AH26" s="14">
        <v>0.25135659623784018</v>
      </c>
      <c r="AI26" s="14">
        <v>0.74864340376215988</v>
      </c>
      <c r="AJ26" s="14">
        <v>30.788776619695454</v>
      </c>
      <c r="AK26" s="14" t="s">
        <v>42</v>
      </c>
      <c r="AL26" s="14">
        <v>30.788776619695454</v>
      </c>
      <c r="AM26" s="14">
        <v>-0.62835293253023805</v>
      </c>
      <c r="AN26" s="14">
        <v>-0.67022684633745511</v>
      </c>
    </row>
    <row r="27" spans="1:40" x14ac:dyDescent="0.25">
      <c r="A27" s="1">
        <v>45322.666666666664</v>
      </c>
      <c r="B27">
        <v>20240216</v>
      </c>
      <c r="C27">
        <v>4663.5</v>
      </c>
      <c r="D27">
        <v>4648.2287960000003</v>
      </c>
      <c r="E27" t="s">
        <v>42</v>
      </c>
      <c r="F27">
        <v>4825</v>
      </c>
      <c r="G27">
        <v>10</v>
      </c>
      <c r="H27" t="s">
        <v>41</v>
      </c>
      <c r="I27" s="14">
        <v>3.6</v>
      </c>
      <c r="J27" s="14">
        <v>4</v>
      </c>
      <c r="K27" s="14">
        <v>12.761714769999999</v>
      </c>
      <c r="L27" s="14">
        <v>0.64329366399999999</v>
      </c>
      <c r="M27" s="14">
        <v>3.853436276</v>
      </c>
      <c r="N27" s="14">
        <v>7.3507539999999996E-2</v>
      </c>
      <c r="O27" s="14">
        <v>1.2935305479999999</v>
      </c>
      <c r="P27" s="14">
        <v>1.0600609999999999E-3</v>
      </c>
      <c r="Q27" s="14">
        <v>-0.74497594199999995</v>
      </c>
      <c r="R27">
        <v>0</v>
      </c>
      <c r="S27" t="b">
        <v>1</v>
      </c>
      <c r="T27" s="1">
        <v>45322.666666666664</v>
      </c>
      <c r="U27" s="1">
        <v>45338.666666666664</v>
      </c>
      <c r="V27" s="14">
        <v>4.3835616438356165E-2</v>
      </c>
      <c r="W27">
        <v>3.7900000000000003E-2</v>
      </c>
      <c r="X27">
        <v>0.2</v>
      </c>
      <c r="Y27" s="14">
        <v>-3.4044495606168082E-2</v>
      </c>
      <c r="Z27" s="14">
        <v>5.7900000000000007E-2</v>
      </c>
      <c r="AA27" s="14">
        <v>4.3835616438356165E-2</v>
      </c>
      <c r="AB27" s="14">
        <v>4.1873913807217097E-2</v>
      </c>
      <c r="AC27" s="14">
        <v>-0.75241147888490501</v>
      </c>
      <c r="AD27" s="14">
        <v>0.22590182281875221</v>
      </c>
      <c r="AE27" s="14">
        <v>0.77409817718124785</v>
      </c>
      <c r="AF27">
        <v>1.7899999999999999E-2</v>
      </c>
      <c r="AG27" s="14">
        <v>-0.79428539269212206</v>
      </c>
      <c r="AH27" s="14">
        <v>0.2135146529320896</v>
      </c>
      <c r="AI27" s="14">
        <v>0.7864853470679104</v>
      </c>
      <c r="AJ27" s="14">
        <v>24.995086197229966</v>
      </c>
      <c r="AK27" s="14" t="s">
        <v>42</v>
      </c>
      <c r="AL27" s="14">
        <v>24.995086197229966</v>
      </c>
      <c r="AM27" s="14">
        <v>-0.75241147888490501</v>
      </c>
      <c r="AN27" s="14">
        <v>-0.79428539269212206</v>
      </c>
    </row>
    <row r="28" spans="1:40" x14ac:dyDescent="0.25">
      <c r="A28" s="1">
        <v>45322.666666666664</v>
      </c>
      <c r="B28">
        <v>20240216</v>
      </c>
      <c r="C28">
        <v>4663.5</v>
      </c>
      <c r="D28">
        <v>4648.2287960000003</v>
      </c>
      <c r="E28" t="s">
        <v>42</v>
      </c>
      <c r="F28">
        <v>4850</v>
      </c>
      <c r="G28">
        <v>10</v>
      </c>
      <c r="H28" t="s">
        <v>41</v>
      </c>
      <c r="I28" s="14">
        <v>2.4</v>
      </c>
      <c r="J28" s="14">
        <v>2.7</v>
      </c>
      <c r="K28" s="14">
        <v>12.987671560000001</v>
      </c>
      <c r="L28" s="14">
        <v>0.64329366399999999</v>
      </c>
      <c r="M28" s="14">
        <v>2.6252841039999999</v>
      </c>
      <c r="N28" s="14">
        <v>5.2178297999999998E-2</v>
      </c>
      <c r="O28" s="14">
        <v>0.99020850999999999</v>
      </c>
      <c r="P28" s="14">
        <v>7.5202299999999999E-4</v>
      </c>
      <c r="Q28" s="14">
        <v>-0.54737740000000001</v>
      </c>
      <c r="R28">
        <v>0</v>
      </c>
      <c r="S28" t="b">
        <v>1</v>
      </c>
      <c r="T28" s="1">
        <v>45322.666666666664</v>
      </c>
      <c r="U28" s="1">
        <v>45338.666666666664</v>
      </c>
      <c r="V28" s="14">
        <v>4.3835616438356165E-2</v>
      </c>
      <c r="W28">
        <v>3.7900000000000003E-2</v>
      </c>
      <c r="X28">
        <v>0.2</v>
      </c>
      <c r="Y28" s="14">
        <v>-3.9212465764610731E-2</v>
      </c>
      <c r="Z28" s="14">
        <v>5.7900000000000007E-2</v>
      </c>
      <c r="AA28" s="14">
        <v>4.3835616438356165E-2</v>
      </c>
      <c r="AB28" s="14">
        <v>4.1873913807217097E-2</v>
      </c>
      <c r="AC28" s="14">
        <v>-0.87582889293976063</v>
      </c>
      <c r="AD28" s="14">
        <v>0.19056153016825891</v>
      </c>
      <c r="AE28" s="14">
        <v>0.80943846983174106</v>
      </c>
      <c r="AF28">
        <v>1.7899999999999999E-2</v>
      </c>
      <c r="AG28" s="14">
        <v>-0.91770280674697768</v>
      </c>
      <c r="AH28" s="14">
        <v>0.17938723892425484</v>
      </c>
      <c r="AI28" s="14">
        <v>0.82061276107574521</v>
      </c>
      <c r="AJ28" s="14">
        <v>20.099825597642734</v>
      </c>
      <c r="AK28" s="14" t="s">
        <v>42</v>
      </c>
      <c r="AL28" s="14">
        <v>20.099825597642734</v>
      </c>
      <c r="AM28" s="14">
        <v>-0.87582889293976063</v>
      </c>
      <c r="AN28" s="14">
        <v>-0.91770280674697768</v>
      </c>
    </row>
    <row r="29" spans="1:40" x14ac:dyDescent="0.25">
      <c r="A29" s="1">
        <v>45322.666666666664</v>
      </c>
      <c r="B29">
        <v>20240216</v>
      </c>
      <c r="C29">
        <v>4663.5</v>
      </c>
      <c r="D29">
        <v>4648.2287960000003</v>
      </c>
      <c r="E29" t="s">
        <v>42</v>
      </c>
      <c r="F29">
        <v>4875</v>
      </c>
      <c r="G29">
        <v>10</v>
      </c>
      <c r="H29" t="s">
        <v>41</v>
      </c>
      <c r="I29" s="14">
        <v>1.7</v>
      </c>
      <c r="J29" s="14">
        <v>1.9</v>
      </c>
      <c r="K29" s="14">
        <v>13.2781094</v>
      </c>
      <c r="L29" s="14">
        <v>0.64329366399999999</v>
      </c>
      <c r="M29" s="14">
        <v>1.824940851</v>
      </c>
      <c r="N29" s="14">
        <v>3.7352312999999998E-2</v>
      </c>
      <c r="O29" s="14">
        <v>0.75642984300000005</v>
      </c>
      <c r="P29" s="14">
        <v>5.2218000000000002E-4</v>
      </c>
      <c r="Q29" s="14">
        <v>-0.397270493</v>
      </c>
      <c r="R29">
        <v>0</v>
      </c>
      <c r="S29" t="b">
        <v>1</v>
      </c>
      <c r="T29" s="1">
        <v>45322.666666666664</v>
      </c>
      <c r="U29" s="1">
        <v>45338.666666666664</v>
      </c>
      <c r="V29" s="14">
        <v>4.3835616438356165E-2</v>
      </c>
      <c r="W29">
        <v>3.7900000000000003E-2</v>
      </c>
      <c r="X29">
        <v>0.2</v>
      </c>
      <c r="Y29" s="14">
        <v>-4.4353865265029324E-2</v>
      </c>
      <c r="Z29" s="14">
        <v>5.7900000000000007E-2</v>
      </c>
      <c r="AA29" s="14">
        <v>4.3835616438356165E-2</v>
      </c>
      <c r="AB29" s="14">
        <v>4.1873913807217097E-2</v>
      </c>
      <c r="AC29" s="14">
        <v>-0.99861176735864177</v>
      </c>
      <c r="AD29" s="14">
        <v>0.15899139875117688</v>
      </c>
      <c r="AE29" s="14">
        <v>0.84100860124882315</v>
      </c>
      <c r="AF29">
        <v>1.7899999999999999E-2</v>
      </c>
      <c r="AG29" s="14">
        <v>-1.0404856811658589</v>
      </c>
      <c r="AH29" s="14">
        <v>0.14905715654427051</v>
      </c>
      <c r="AI29" s="14">
        <v>0.85094284345572946</v>
      </c>
      <c r="AJ29" s="14">
        <v>16.008988096747089</v>
      </c>
      <c r="AK29" s="14" t="s">
        <v>42</v>
      </c>
      <c r="AL29" s="14">
        <v>16.008988096747089</v>
      </c>
      <c r="AM29" s="14">
        <v>-0.99861176735864177</v>
      </c>
      <c r="AN29" s="14">
        <v>-1.0404856811658589</v>
      </c>
    </row>
    <row r="30" spans="1:40" x14ac:dyDescent="0.25">
      <c r="A30" s="1">
        <v>45322.666666666664</v>
      </c>
      <c r="B30">
        <v>20240216</v>
      </c>
      <c r="C30">
        <v>4663.5</v>
      </c>
      <c r="D30">
        <v>4648.2287960000003</v>
      </c>
      <c r="E30" t="s">
        <v>42</v>
      </c>
      <c r="F30">
        <v>4900</v>
      </c>
      <c r="G30">
        <v>10</v>
      </c>
      <c r="H30" t="s">
        <v>41</v>
      </c>
      <c r="I30" s="14">
        <v>1.2</v>
      </c>
      <c r="J30" s="14">
        <v>1.4</v>
      </c>
      <c r="K30" s="14">
        <v>13.632033740000001</v>
      </c>
      <c r="L30" s="14">
        <v>0.64329366399999999</v>
      </c>
      <c r="M30" s="14">
        <v>1.3049223510000001</v>
      </c>
      <c r="N30" s="14">
        <v>2.7202016999999998E-2</v>
      </c>
      <c r="O30" s="14">
        <v>0.58220022100000002</v>
      </c>
      <c r="P30" s="14">
        <v>3.58332E-4</v>
      </c>
      <c r="Q30" s="14">
        <v>-0.28734303100000003</v>
      </c>
      <c r="R30">
        <v>0</v>
      </c>
      <c r="S30" t="b">
        <v>1</v>
      </c>
      <c r="T30" s="1">
        <v>45322.666666666664</v>
      </c>
      <c r="U30" s="1">
        <v>45338.666666666664</v>
      </c>
      <c r="V30" s="14">
        <v>4.3835616438356165E-2</v>
      </c>
      <c r="W30">
        <v>3.7900000000000003E-2</v>
      </c>
      <c r="X30">
        <v>0.2</v>
      </c>
      <c r="Y30" s="14">
        <v>-4.9468965931799752E-2</v>
      </c>
      <c r="Z30" s="14">
        <v>5.7900000000000007E-2</v>
      </c>
      <c r="AA30" s="14">
        <v>4.3835616438356165E-2</v>
      </c>
      <c r="AB30" s="14">
        <v>4.1873913807217097E-2</v>
      </c>
      <c r="AC30" s="14">
        <v>-1.1207665936383107</v>
      </c>
      <c r="AD30" s="14">
        <v>0.13119361370574933</v>
      </c>
      <c r="AE30" s="14">
        <v>0.86880638629425067</v>
      </c>
      <c r="AF30">
        <v>1.7899999999999999E-2</v>
      </c>
      <c r="AG30" s="14">
        <v>-1.1626405074455277</v>
      </c>
      <c r="AH30" s="14">
        <v>0.12248769429504634</v>
      </c>
      <c r="AI30" s="14">
        <v>0.87751230570495364</v>
      </c>
      <c r="AJ30" s="14">
        <v>12.628024705872804</v>
      </c>
      <c r="AK30" s="14" t="s">
        <v>42</v>
      </c>
      <c r="AL30" s="14">
        <v>12.628024705872804</v>
      </c>
      <c r="AM30" s="14">
        <v>-1.1207665936383107</v>
      </c>
      <c r="AN30" s="14">
        <v>-1.1626405074455277</v>
      </c>
    </row>
    <row r="31" spans="1:40" x14ac:dyDescent="0.25">
      <c r="A31" s="1">
        <v>45322.666666666664</v>
      </c>
      <c r="B31">
        <v>20240216</v>
      </c>
      <c r="C31">
        <v>4663.5</v>
      </c>
      <c r="D31">
        <v>4648.2287960000003</v>
      </c>
      <c r="E31" t="s">
        <v>42</v>
      </c>
      <c r="F31">
        <v>4925</v>
      </c>
      <c r="G31">
        <v>10</v>
      </c>
      <c r="H31" t="s">
        <v>41</v>
      </c>
      <c r="I31" s="14">
        <v>0.9</v>
      </c>
      <c r="J31" s="14">
        <v>1.1000000000000001</v>
      </c>
      <c r="K31" s="14">
        <v>14.04846858</v>
      </c>
      <c r="L31" s="14">
        <v>0.64329366399999999</v>
      </c>
      <c r="M31" s="14">
        <v>0.96607538000000004</v>
      </c>
      <c r="N31" s="14">
        <v>2.0300450000000001E-2</v>
      </c>
      <c r="O31" s="14">
        <v>0.455188325</v>
      </c>
      <c r="P31" s="14">
        <v>2.4731299999999998E-4</v>
      </c>
      <c r="Q31" s="14">
        <v>-0.21061966700000001</v>
      </c>
      <c r="R31">
        <v>0</v>
      </c>
      <c r="S31" t="b">
        <v>1</v>
      </c>
      <c r="T31" s="1">
        <v>45322.666666666664</v>
      </c>
      <c r="U31" s="1">
        <v>45338.666666666664</v>
      </c>
      <c r="V31" s="14">
        <v>4.3835616438356165E-2</v>
      </c>
      <c r="W31">
        <v>3.7900000000000003E-2</v>
      </c>
      <c r="X31">
        <v>0.2</v>
      </c>
      <c r="Y31" s="14">
        <v>-5.4558035439271062E-2</v>
      </c>
      <c r="Z31" s="14">
        <v>5.7900000000000007E-2</v>
      </c>
      <c r="AA31" s="14">
        <v>4.3835616438356165E-2</v>
      </c>
      <c r="AB31" s="14">
        <v>4.1873913807217097E-2</v>
      </c>
      <c r="AC31" s="14">
        <v>-1.2422997641678395</v>
      </c>
      <c r="AD31" s="14">
        <v>0.10706299117350244</v>
      </c>
      <c r="AE31" s="14">
        <v>0.89293700882649751</v>
      </c>
      <c r="AF31">
        <v>1.7899999999999999E-2</v>
      </c>
      <c r="AG31" s="14">
        <v>-1.2841736779750565</v>
      </c>
      <c r="AH31" s="14">
        <v>9.9540596484917351E-2</v>
      </c>
      <c r="AI31" s="14">
        <v>0.90045940351508269</v>
      </c>
      <c r="AJ31" s="14">
        <v>9.8646111642378287</v>
      </c>
      <c r="AK31" s="14" t="s">
        <v>42</v>
      </c>
      <c r="AL31" s="14">
        <v>9.8646111642378287</v>
      </c>
      <c r="AM31" s="14">
        <v>-1.2422997641678395</v>
      </c>
      <c r="AN31" s="14">
        <v>-1.2841736779750565</v>
      </c>
    </row>
    <row r="32" spans="1:40" x14ac:dyDescent="0.25">
      <c r="A32" s="1">
        <v>45322.666666666664</v>
      </c>
      <c r="B32">
        <v>20240216</v>
      </c>
      <c r="C32">
        <v>4663.5</v>
      </c>
      <c r="D32">
        <v>4648.2287960000003</v>
      </c>
      <c r="E32" t="s">
        <v>42</v>
      </c>
      <c r="F32">
        <v>4950</v>
      </c>
      <c r="G32">
        <v>10</v>
      </c>
      <c r="H32" t="s">
        <v>41</v>
      </c>
      <c r="I32" s="14">
        <v>0.6</v>
      </c>
      <c r="J32" s="14">
        <v>0.9</v>
      </c>
      <c r="K32" s="14">
        <v>14.506366140000001</v>
      </c>
      <c r="L32" s="14">
        <v>0.64329366399999999</v>
      </c>
      <c r="M32" s="14">
        <v>0.73666079699999998</v>
      </c>
      <c r="N32" s="14">
        <v>1.5492924E-2</v>
      </c>
      <c r="O32" s="14">
        <v>0.36147293200000002</v>
      </c>
      <c r="P32" s="14">
        <v>1.75563E-4</v>
      </c>
      <c r="Q32" s="14">
        <v>-0.15942010500000001</v>
      </c>
      <c r="R32">
        <v>0</v>
      </c>
      <c r="S32" t="b">
        <v>1</v>
      </c>
      <c r="T32" s="1">
        <v>45322.666666666664</v>
      </c>
      <c r="U32" s="1">
        <v>45338.666666666664</v>
      </c>
      <c r="V32" s="14">
        <v>4.3835616438356165E-2</v>
      </c>
      <c r="W32">
        <v>3.7900000000000003E-2</v>
      </c>
      <c r="X32">
        <v>0.2</v>
      </c>
      <c r="Y32" s="14">
        <v>-5.9621337395817778E-2</v>
      </c>
      <c r="Z32" s="14">
        <v>5.7900000000000007E-2</v>
      </c>
      <c r="AA32" s="14">
        <v>4.3835616438356165E-2</v>
      </c>
      <c r="AB32" s="14">
        <v>4.1873913807217097E-2</v>
      </c>
      <c r="AC32" s="14">
        <v>-1.3632175742358834</v>
      </c>
      <c r="AD32" s="14">
        <v>8.6406975076299741E-2</v>
      </c>
      <c r="AE32" s="14">
        <v>0.91359302492370031</v>
      </c>
      <c r="AF32">
        <v>1.7899999999999999E-2</v>
      </c>
      <c r="AG32" s="14">
        <v>-1.4050914880431005</v>
      </c>
      <c r="AH32" s="14">
        <v>7.9997037460543124E-2</v>
      </c>
      <c r="AI32" s="14">
        <v>0.9200029625394569</v>
      </c>
      <c r="AJ32" s="14">
        <v>7.6309247542018284</v>
      </c>
      <c r="AK32" s="14" t="s">
        <v>42</v>
      </c>
      <c r="AL32" s="14">
        <v>7.6309247542018284</v>
      </c>
      <c r="AM32" s="14">
        <v>-1.3632175742358834</v>
      </c>
      <c r="AN32" s="14">
        <v>-1.4050914880431005</v>
      </c>
    </row>
    <row r="33" spans="1:40" x14ac:dyDescent="0.25">
      <c r="A33" s="1">
        <v>45322.666666666664</v>
      </c>
      <c r="B33">
        <v>20240216</v>
      </c>
      <c r="C33">
        <v>4663.5</v>
      </c>
      <c r="D33">
        <v>4648.2287960000003</v>
      </c>
      <c r="E33" t="s">
        <v>42</v>
      </c>
      <c r="F33">
        <v>4975</v>
      </c>
      <c r="G33">
        <v>10</v>
      </c>
      <c r="H33" t="s">
        <v>41</v>
      </c>
      <c r="I33" s="14">
        <v>0.5</v>
      </c>
      <c r="J33" s="14">
        <v>0.7</v>
      </c>
      <c r="K33" s="14">
        <v>14.985100689999999</v>
      </c>
      <c r="L33" s="14">
        <v>0.64329366399999999</v>
      </c>
      <c r="M33" s="14">
        <v>0.57396241800000003</v>
      </c>
      <c r="N33" s="14">
        <v>1.203038E-2</v>
      </c>
      <c r="O33" s="14">
        <v>0.29060911</v>
      </c>
      <c r="P33" s="14">
        <v>1.27546E-4</v>
      </c>
      <c r="Q33" s="14">
        <v>-0.12358854800000001</v>
      </c>
      <c r="R33">
        <v>0</v>
      </c>
      <c r="S33" t="b">
        <v>1</v>
      </c>
      <c r="T33" s="1">
        <v>45322.666666666664</v>
      </c>
      <c r="U33" s="1">
        <v>45338.666666666664</v>
      </c>
      <c r="V33" s="14">
        <v>4.3835616438356165E-2</v>
      </c>
      <c r="W33">
        <v>3.7900000000000003E-2</v>
      </c>
      <c r="X33">
        <v>0.2</v>
      </c>
      <c r="Y33" s="14">
        <v>-6.465913142577491E-2</v>
      </c>
      <c r="Z33" s="14">
        <v>5.7900000000000007E-2</v>
      </c>
      <c r="AA33" s="14">
        <v>4.3835616438356165E-2</v>
      </c>
      <c r="AB33" s="14">
        <v>4.1873913807217097E-2</v>
      </c>
      <c r="AC33" s="14">
        <v>-1.483526223987387</v>
      </c>
      <c r="AD33" s="14">
        <v>6.8967327186810229E-2</v>
      </c>
      <c r="AE33" s="14">
        <v>0.9310326728131898</v>
      </c>
      <c r="AF33">
        <v>1.7899999999999999E-2</v>
      </c>
      <c r="AG33" s="14">
        <v>-1.5254001377946043</v>
      </c>
      <c r="AH33" s="14">
        <v>6.3579662209315629E-2</v>
      </c>
      <c r="AI33" s="14">
        <v>0.93642033779068434</v>
      </c>
      <c r="AJ33" s="14">
        <v>5.8453804962322238</v>
      </c>
      <c r="AK33" s="14" t="s">
        <v>42</v>
      </c>
      <c r="AL33" s="14">
        <v>5.8453804962322238</v>
      </c>
      <c r="AM33" s="14">
        <v>-1.483526223987387</v>
      </c>
      <c r="AN33" s="14">
        <v>-1.5254001377946043</v>
      </c>
    </row>
    <row r="34" spans="1:40" x14ac:dyDescent="0.25">
      <c r="A34" s="1">
        <v>45322.666666666664</v>
      </c>
      <c r="B34">
        <v>20240216</v>
      </c>
      <c r="C34">
        <v>4663.5</v>
      </c>
      <c r="D34">
        <v>4648.2287960000003</v>
      </c>
      <c r="E34" t="s">
        <v>42</v>
      </c>
      <c r="F34">
        <v>5000</v>
      </c>
      <c r="G34">
        <v>10</v>
      </c>
      <c r="H34" t="s">
        <v>41</v>
      </c>
      <c r="I34" s="14">
        <v>0.4</v>
      </c>
      <c r="J34" s="14">
        <v>0.6</v>
      </c>
      <c r="K34" s="14">
        <v>15.48434761</v>
      </c>
      <c r="L34" s="14">
        <v>0.64329366399999999</v>
      </c>
      <c r="M34" s="14">
        <v>0.45720339999999998</v>
      </c>
      <c r="N34" s="14">
        <v>9.5149450000000003E-3</v>
      </c>
      <c r="O34" s="14">
        <v>0.23692753799999999</v>
      </c>
      <c r="P34" s="21">
        <v>9.35103803474015E-5</v>
      </c>
      <c r="Q34" s="14">
        <v>-9.6747348999999996E-2</v>
      </c>
      <c r="R34">
        <v>0</v>
      </c>
      <c r="S34" t="b">
        <v>1</v>
      </c>
      <c r="T34" s="1">
        <v>45322.666666666664</v>
      </c>
      <c r="U34" s="1">
        <v>45338.666666666664</v>
      </c>
      <c r="V34" s="14">
        <v>4.3835616438356165E-2</v>
      </c>
      <c r="W34">
        <v>3.7900000000000003E-2</v>
      </c>
      <c r="X34">
        <v>0.2</v>
      </c>
      <c r="Y34" s="14">
        <v>-6.9671673249319263E-2</v>
      </c>
      <c r="Z34" s="14">
        <v>5.7900000000000007E-2</v>
      </c>
      <c r="AA34" s="14">
        <v>4.3835616438356165E-2</v>
      </c>
      <c r="AB34" s="14">
        <v>4.1873913807217097E-2</v>
      </c>
      <c r="AC34" s="14">
        <v>-1.6032318203312479</v>
      </c>
      <c r="AD34" s="14">
        <v>5.4441741341606058E-2</v>
      </c>
      <c r="AE34" s="14">
        <v>0.94555825865839394</v>
      </c>
      <c r="AF34">
        <v>1.7899999999999999E-2</v>
      </c>
      <c r="AG34" s="14">
        <v>-1.6451057341384649</v>
      </c>
      <c r="AH34" s="14">
        <v>4.9974004154445334E-2</v>
      </c>
      <c r="AI34" s="14">
        <v>0.95002599584555469</v>
      </c>
      <c r="AJ34" s="14">
        <v>4.4338218480774003</v>
      </c>
      <c r="AK34" s="14" t="s">
        <v>42</v>
      </c>
      <c r="AL34" s="14">
        <v>4.4338218480774003</v>
      </c>
      <c r="AM34" s="14">
        <v>-1.6032318203312479</v>
      </c>
      <c r="AN34" s="14">
        <v>-1.6451057341384649</v>
      </c>
    </row>
    <row r="35" spans="1:40" x14ac:dyDescent="0.25">
      <c r="A35" s="1">
        <v>45322.666666666664</v>
      </c>
      <c r="B35">
        <v>20240216</v>
      </c>
      <c r="C35">
        <v>4663.5</v>
      </c>
      <c r="D35">
        <v>4648.2287960000003</v>
      </c>
      <c r="E35" t="s">
        <v>42</v>
      </c>
      <c r="F35">
        <v>5025</v>
      </c>
      <c r="G35">
        <v>10</v>
      </c>
      <c r="H35" t="s">
        <v>41</v>
      </c>
      <c r="I35" s="14">
        <v>0.3</v>
      </c>
      <c r="J35" s="14">
        <v>0.5</v>
      </c>
      <c r="K35" s="14">
        <v>16.0037883</v>
      </c>
      <c r="L35" s="14">
        <v>0.64329366399999999</v>
      </c>
      <c r="M35" s="14">
        <v>0.37239962900000001</v>
      </c>
      <c r="N35" s="14">
        <v>7.6695230000000001E-3</v>
      </c>
      <c r="O35" s="14">
        <v>0.19609821399999999</v>
      </c>
      <c r="P35" s="21">
        <v>6.9250804236215495E-5</v>
      </c>
      <c r="Q35" s="14">
        <v>-7.6535662000000004E-2</v>
      </c>
      <c r="R35">
        <v>0</v>
      </c>
      <c r="S35" t="b">
        <v>1</v>
      </c>
      <c r="T35" s="1">
        <v>45322.666666666664</v>
      </c>
      <c r="U35" s="1">
        <v>45338.666666666664</v>
      </c>
      <c r="V35" s="14">
        <v>4.3835616438356165E-2</v>
      </c>
      <c r="W35">
        <v>3.7900000000000003E-2</v>
      </c>
      <c r="X35">
        <v>0.2</v>
      </c>
      <c r="Y35" s="14">
        <v>-7.4659214760358264E-2</v>
      </c>
      <c r="Z35" s="14">
        <v>5.7900000000000007E-2</v>
      </c>
      <c r="AA35" s="14">
        <v>4.3835616438356165E-2</v>
      </c>
      <c r="AB35" s="14">
        <v>4.1873913807217097E-2</v>
      </c>
      <c r="AC35" s="14">
        <v>-1.7223403788003964</v>
      </c>
      <c r="AD35" s="14">
        <v>4.2503938578928896E-2</v>
      </c>
      <c r="AE35" s="14">
        <v>0.95749606142107113</v>
      </c>
      <c r="AF35">
        <v>1.7899999999999999E-2</v>
      </c>
      <c r="AG35" s="14">
        <v>-1.7642142926076134</v>
      </c>
      <c r="AH35" s="14">
        <v>3.8847953648974275E-2</v>
      </c>
      <c r="AI35" s="14">
        <v>0.96115204635102569</v>
      </c>
      <c r="AJ35" s="14">
        <v>3.3301988377600367</v>
      </c>
      <c r="AK35" s="14" t="s">
        <v>42</v>
      </c>
      <c r="AL35" s="14">
        <v>3.3301988377600367</v>
      </c>
      <c r="AM35" s="14">
        <v>-1.7223403788003964</v>
      </c>
      <c r="AN35" s="14">
        <v>-1.7642142926076134</v>
      </c>
    </row>
    <row r="36" spans="1:40" x14ac:dyDescent="0.25">
      <c r="A36" s="1">
        <v>45322.666666666664</v>
      </c>
      <c r="B36">
        <v>20240216</v>
      </c>
      <c r="C36">
        <v>4663.5</v>
      </c>
      <c r="D36">
        <v>4648.2287960000003</v>
      </c>
      <c r="E36" t="s">
        <v>42</v>
      </c>
      <c r="F36">
        <v>5050</v>
      </c>
      <c r="G36">
        <v>10</v>
      </c>
      <c r="H36" t="s">
        <v>41</v>
      </c>
      <c r="I36" s="14">
        <v>0.2</v>
      </c>
      <c r="J36" s="14">
        <v>0.4</v>
      </c>
      <c r="K36" s="14">
        <v>16.543110039999998</v>
      </c>
      <c r="L36" s="14">
        <v>0.64329366399999999</v>
      </c>
      <c r="M36" s="14">
        <v>0.310091905</v>
      </c>
      <c r="N36" s="14">
        <v>6.3015010000000002E-3</v>
      </c>
      <c r="O36" s="14">
        <v>0.16487549000000001</v>
      </c>
      <c r="P36" s="21">
        <v>5.18214146579074E-5</v>
      </c>
      <c r="Q36" s="14">
        <v>-6.1197968999999998E-2</v>
      </c>
      <c r="R36">
        <v>0</v>
      </c>
      <c r="S36" t="b">
        <v>1</v>
      </c>
      <c r="T36" s="1">
        <v>45322.666666666664</v>
      </c>
      <c r="U36" s="1">
        <v>45338.666666666664</v>
      </c>
      <c r="V36" s="14">
        <v>4.3835616438356165E-2</v>
      </c>
      <c r="W36">
        <v>3.7900000000000003E-2</v>
      </c>
      <c r="X36">
        <v>0.2</v>
      </c>
      <c r="Y36" s="14">
        <v>-7.9622004102487265E-2</v>
      </c>
      <c r="Z36" s="14">
        <v>5.7900000000000007E-2</v>
      </c>
      <c r="AA36" s="14">
        <v>4.3835616438356165E-2</v>
      </c>
      <c r="AB36" s="14">
        <v>4.1873913807217097E-2</v>
      </c>
      <c r="AC36" s="14">
        <v>-1.8408578253657482</v>
      </c>
      <c r="AD36" s="14">
        <v>3.2821198110950439E-2</v>
      </c>
      <c r="AE36" s="14">
        <v>0.96717880188904959</v>
      </c>
      <c r="AF36">
        <v>1.7899999999999999E-2</v>
      </c>
      <c r="AG36" s="14">
        <v>-1.8827317391729654</v>
      </c>
      <c r="AH36" s="14">
        <v>2.9868365929292238E-2</v>
      </c>
      <c r="AI36" s="14">
        <v>0.97013163407070779</v>
      </c>
      <c r="AJ36" s="14">
        <v>2.4767945339940241</v>
      </c>
      <c r="AK36" s="14" t="s">
        <v>42</v>
      </c>
      <c r="AL36" s="14">
        <v>2.4767945339940241</v>
      </c>
      <c r="AM36" s="14">
        <v>-1.8408578253657482</v>
      </c>
      <c r="AN36" s="14">
        <v>-1.8827317391729654</v>
      </c>
    </row>
    <row r="37" spans="1:40" x14ac:dyDescent="0.25">
      <c r="A37" s="1">
        <v>45322.666666666664</v>
      </c>
      <c r="B37">
        <v>20240216</v>
      </c>
      <c r="C37">
        <v>4663.5</v>
      </c>
      <c r="D37">
        <v>4648.2287960000003</v>
      </c>
      <c r="E37" t="s">
        <v>42</v>
      </c>
      <c r="F37">
        <v>5075</v>
      </c>
      <c r="G37">
        <v>10</v>
      </c>
      <c r="H37" t="s">
        <v>41</v>
      </c>
      <c r="I37" s="14">
        <v>0.2</v>
      </c>
      <c r="J37" s="14">
        <v>0.4</v>
      </c>
      <c r="K37" s="14">
        <v>17.102005819999999</v>
      </c>
      <c r="L37" s="14">
        <v>0.64329366399999999</v>
      </c>
      <c r="M37" s="14">
        <v>0.26383611000000001</v>
      </c>
      <c r="N37" s="14">
        <v>5.2767589999999998E-3</v>
      </c>
      <c r="O37" s="14">
        <v>0.14085283300000001</v>
      </c>
      <c r="P37" s="21">
        <v>3.9176627024041798E-5</v>
      </c>
      <c r="Q37" s="14">
        <v>-4.9444109999999999E-2</v>
      </c>
      <c r="R37">
        <v>0</v>
      </c>
      <c r="S37" t="b">
        <v>1</v>
      </c>
      <c r="T37" s="1">
        <v>45322.666666666664</v>
      </c>
      <c r="U37" s="1">
        <v>45338.666666666664</v>
      </c>
      <c r="V37" s="14">
        <v>4.3835616438356165E-2</v>
      </c>
      <c r="W37">
        <v>3.7900000000000003E-2</v>
      </c>
      <c r="X37">
        <v>0.2</v>
      </c>
      <c r="Y37" s="14">
        <v>-8.4560285743069855E-2</v>
      </c>
      <c r="Z37" s="14">
        <v>5.7900000000000007E-2</v>
      </c>
      <c r="AA37" s="14">
        <v>4.3835616438356165E-2</v>
      </c>
      <c r="AB37" s="14">
        <v>4.1873913807217097E-2</v>
      </c>
      <c r="AC37" s="14">
        <v>-1.9587899982053325</v>
      </c>
      <c r="AD37" s="14">
        <v>2.5068692697155014E-2</v>
      </c>
      <c r="AE37" s="14">
        <v>0.97493130730284494</v>
      </c>
      <c r="AF37">
        <v>1.7899999999999999E-2</v>
      </c>
      <c r="AG37" s="14">
        <v>-2.0006639120125498</v>
      </c>
      <c r="AH37" s="14">
        <v>2.2714310487135767E-2</v>
      </c>
      <c r="AI37" s="14">
        <v>0.97728568951286421</v>
      </c>
      <c r="AJ37" s="14">
        <v>1.8240782905544535</v>
      </c>
      <c r="AK37" s="14" t="s">
        <v>42</v>
      </c>
      <c r="AL37" s="14">
        <v>1.8240782905544535</v>
      </c>
      <c r="AM37" s="14">
        <v>-1.9587899982053325</v>
      </c>
      <c r="AN37" s="14">
        <v>-2.0006639120125498</v>
      </c>
    </row>
    <row r="38" spans="1:40" x14ac:dyDescent="0.25">
      <c r="A38" s="1">
        <v>45322.666666666664</v>
      </c>
      <c r="B38">
        <v>20240216</v>
      </c>
      <c r="C38">
        <v>4663.5</v>
      </c>
      <c r="D38">
        <v>4648.2287960000003</v>
      </c>
      <c r="E38" t="s">
        <v>42</v>
      </c>
      <c r="F38">
        <v>5100</v>
      </c>
      <c r="G38">
        <v>10</v>
      </c>
      <c r="H38" t="s">
        <v>41</v>
      </c>
      <c r="I38" s="14">
        <v>0.1</v>
      </c>
      <c r="J38" s="14">
        <v>0.3</v>
      </c>
      <c r="K38" s="14">
        <v>17.680174269999998</v>
      </c>
      <c r="L38" s="14">
        <v>0.64329366399999999</v>
      </c>
      <c r="M38" s="14">
        <v>0.229204353</v>
      </c>
      <c r="N38" s="14">
        <v>4.501499E-3</v>
      </c>
      <c r="O38" s="14">
        <v>0.122255369</v>
      </c>
      <c r="P38" s="21">
        <v>2.99002846375167E-5</v>
      </c>
      <c r="Q38" s="14">
        <v>-4.0331263999999999E-2</v>
      </c>
      <c r="R38">
        <v>0</v>
      </c>
      <c r="S38" t="b">
        <v>1</v>
      </c>
      <c r="T38" s="1">
        <v>45322.666666666664</v>
      </c>
      <c r="U38" s="1">
        <v>45338.666666666664</v>
      </c>
      <c r="V38" s="14">
        <v>4.3835616438356165E-2</v>
      </c>
      <c r="W38">
        <v>3.7900000000000003E-2</v>
      </c>
      <c r="X38">
        <v>0.2</v>
      </c>
      <c r="Y38" s="14">
        <v>-8.947430054549893E-2</v>
      </c>
      <c r="Z38" s="14">
        <v>5.7900000000000007E-2</v>
      </c>
      <c r="AA38" s="14">
        <v>4.3835616438356165E-2</v>
      </c>
      <c r="AB38" s="14">
        <v>4.1873913807217097E-2</v>
      </c>
      <c r="AC38" s="14">
        <v>-2.0761426494299746</v>
      </c>
      <c r="AD38" s="14">
        <v>1.89403798130162E-2</v>
      </c>
      <c r="AE38" s="14">
        <v>0.98105962018698378</v>
      </c>
      <c r="AF38">
        <v>1.7899999999999999E-2</v>
      </c>
      <c r="AG38" s="14">
        <v>-2.1180165632371919</v>
      </c>
      <c r="AH38" s="14">
        <v>1.7086832481339805E-2</v>
      </c>
      <c r="AI38" s="14">
        <v>0.9829131675186602</v>
      </c>
      <c r="AJ38" s="14">
        <v>1.3302719036344257</v>
      </c>
      <c r="AK38" s="14" t="s">
        <v>42</v>
      </c>
      <c r="AL38" s="14">
        <v>1.3302719036344257</v>
      </c>
      <c r="AM38" s="14">
        <v>-2.0761426494299746</v>
      </c>
      <c r="AN38" s="14">
        <v>-2.1180165632371919</v>
      </c>
    </row>
    <row r="39" spans="1:40" x14ac:dyDescent="0.25">
      <c r="A39" s="1">
        <v>45322.666666666664</v>
      </c>
      <c r="B39">
        <v>20240216</v>
      </c>
      <c r="C39">
        <v>4663.5</v>
      </c>
      <c r="D39">
        <v>4648.2287960000003</v>
      </c>
      <c r="E39" t="s">
        <v>42</v>
      </c>
      <c r="F39">
        <v>5125</v>
      </c>
      <c r="G39">
        <v>10</v>
      </c>
      <c r="H39" t="s">
        <v>41</v>
      </c>
      <c r="I39" s="14">
        <v>0.1</v>
      </c>
      <c r="J39" s="14">
        <v>0.3</v>
      </c>
      <c r="K39" s="14">
        <v>18.27731949</v>
      </c>
      <c r="L39" s="14">
        <v>0.64329366399999999</v>
      </c>
      <c r="M39" s="14">
        <v>0.20312529100000001</v>
      </c>
      <c r="N39" s="14">
        <v>3.9097009999999998E-3</v>
      </c>
      <c r="O39" s="14">
        <v>0.10777587299999999</v>
      </c>
      <c r="P39" s="21">
        <v>2.6014505251736799E-5</v>
      </c>
      <c r="Q39" s="14">
        <v>-3.7500235999999999E-2</v>
      </c>
      <c r="R39">
        <v>0</v>
      </c>
      <c r="S39" t="b">
        <v>1</v>
      </c>
      <c r="T39" s="1">
        <v>45322.666666666664</v>
      </c>
      <c r="U39" s="1">
        <v>45338.666666666664</v>
      </c>
      <c r="V39" s="14">
        <v>4.3835616438356165E-2</v>
      </c>
      <c r="W39">
        <v>3.7900000000000003E-2</v>
      </c>
      <c r="X39">
        <v>0.2</v>
      </c>
      <c r="Y39" s="14">
        <v>-9.4364285839690698E-2</v>
      </c>
      <c r="Z39" s="14">
        <v>5.7900000000000007E-2</v>
      </c>
      <c r="AA39" s="14">
        <v>4.3835616438356165E-2</v>
      </c>
      <c r="AB39" s="14">
        <v>4.1873913807217097E-2</v>
      </c>
      <c r="AC39" s="14">
        <v>-2.1929214467667779</v>
      </c>
      <c r="AD39" s="14">
        <v>1.4156519610560022E-2</v>
      </c>
      <c r="AE39" s="14">
        <v>0.98584348038944003</v>
      </c>
      <c r="AF39">
        <v>1.7899999999999999E-2</v>
      </c>
      <c r="AG39" s="14">
        <v>-2.2347953605739952</v>
      </c>
      <c r="AH39" s="14">
        <v>1.2715393290724609E-2</v>
      </c>
      <c r="AI39" s="14">
        <v>0.98728460670927543</v>
      </c>
      <c r="AJ39" s="14">
        <v>0.96071418161555755</v>
      </c>
      <c r="AK39" s="14" t="s">
        <v>42</v>
      </c>
      <c r="AL39" s="14">
        <v>0.96071418161555755</v>
      </c>
      <c r="AM39" s="14">
        <v>-2.1929214467667779</v>
      </c>
      <c r="AN39" s="14">
        <v>-2.2347953605739952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N68"/>
  <sheetViews>
    <sheetView showGridLines="0" topLeftCell="A19" zoomScale="75" zoomScaleNormal="75" workbookViewId="0">
      <selection activeCell="AJ1" sqref="AJ1"/>
    </sheetView>
  </sheetViews>
  <sheetFormatPr defaultRowHeight="15" x14ac:dyDescent="0.25"/>
  <cols>
    <col min="1" max="1" width="17.28515625" bestFit="1" customWidth="1"/>
    <col min="2" max="2" width="12.7109375" customWidth="1"/>
    <col min="3" max="3" width="8.140625" bestFit="1" customWidth="1"/>
    <col min="4" max="4" width="13.85546875" style="14" bestFit="1" customWidth="1"/>
    <col min="5" max="5" width="9.85546875" bestFit="1" customWidth="1"/>
    <col min="6" max="6" width="11.140625" bestFit="1" customWidth="1"/>
    <col min="7" max="7" width="18" bestFit="1" customWidth="1"/>
    <col min="8" max="8" width="13.42578125" bestFit="1" customWidth="1"/>
    <col min="9" max="9" width="9.85546875" bestFit="1" customWidth="1"/>
    <col min="10" max="10" width="9.85546875" style="14" bestFit="1" customWidth="1"/>
    <col min="11" max="13" width="13.85546875" style="14" bestFit="1" customWidth="1"/>
    <col min="14" max="14" width="14.42578125" style="14" bestFit="1" customWidth="1"/>
    <col min="15" max="15" width="13.85546875" style="14" bestFit="1" customWidth="1"/>
    <col min="16" max="16" width="13.28515625" style="14" bestFit="1" customWidth="1"/>
    <col min="17" max="17" width="14.42578125" style="14" bestFit="1" customWidth="1"/>
    <col min="18" max="18" width="6.85546875" bestFit="1" customWidth="1"/>
    <col min="19" max="19" width="8.28515625" bestFit="1" customWidth="1"/>
    <col min="20" max="21" width="17.28515625" bestFit="1" customWidth="1"/>
    <col min="22" max="22" width="16" style="14" bestFit="1" customWidth="1"/>
    <col min="23" max="23" width="10.5703125" bestFit="1" customWidth="1"/>
    <col min="24" max="24" width="6.42578125" bestFit="1" customWidth="1"/>
    <col min="25" max="25" width="14.42578125" style="14" bestFit="1" customWidth="1"/>
    <col min="26" max="26" width="16.140625" bestFit="1" customWidth="1"/>
    <col min="27" max="27" width="13.85546875" style="14" bestFit="1" customWidth="1"/>
    <col min="28" max="28" width="15.7109375" style="14" bestFit="1" customWidth="1"/>
    <col min="29" max="29" width="14.42578125" style="14" bestFit="1" customWidth="1"/>
    <col min="30" max="31" width="18" style="14" bestFit="1" customWidth="1"/>
    <col min="32" max="32" width="16.140625" style="14" bestFit="1" customWidth="1"/>
    <col min="33" max="33" width="14.42578125" style="14" bestFit="1" customWidth="1"/>
    <col min="34" max="35" width="13.85546875" style="14" bestFit="1" customWidth="1"/>
    <col min="36" max="36" width="9.7109375" style="14" bestFit="1" customWidth="1"/>
    <col min="37" max="38" width="13.85546875" style="14" bestFit="1" customWidth="1"/>
    <col min="39" max="40" width="14.42578125" style="14" bestFit="1" customWidth="1"/>
  </cols>
  <sheetData>
    <row r="1" spans="1:40" x14ac:dyDescent="0.25">
      <c r="A1" s="2" t="s">
        <v>5</v>
      </c>
      <c r="B1" s="2" t="s">
        <v>6</v>
      </c>
      <c r="C1" s="2" t="s">
        <v>7</v>
      </c>
      <c r="D1" s="13" t="s">
        <v>8</v>
      </c>
      <c r="E1" s="2" t="s">
        <v>9</v>
      </c>
      <c r="F1" s="2" t="s">
        <v>0</v>
      </c>
      <c r="G1" s="2" t="s">
        <v>10</v>
      </c>
      <c r="H1" s="2" t="s">
        <v>11</v>
      </c>
      <c r="I1" s="2" t="s">
        <v>12</v>
      </c>
      <c r="J1" s="13" t="s">
        <v>13</v>
      </c>
      <c r="K1" s="13" t="s">
        <v>14</v>
      </c>
      <c r="L1" s="13" t="s">
        <v>15</v>
      </c>
      <c r="M1" s="13" t="s">
        <v>16</v>
      </c>
      <c r="N1" s="13" t="s">
        <v>17</v>
      </c>
      <c r="O1" s="13" t="s">
        <v>18</v>
      </c>
      <c r="P1" s="13" t="s">
        <v>19</v>
      </c>
      <c r="Q1" s="13" t="s">
        <v>20</v>
      </c>
      <c r="R1" s="2" t="s">
        <v>21</v>
      </c>
      <c r="S1" s="2" t="s">
        <v>22</v>
      </c>
      <c r="T1" s="2" t="s">
        <v>23</v>
      </c>
      <c r="U1" s="2" t="s">
        <v>24</v>
      </c>
      <c r="V1" s="13" t="s">
        <v>25</v>
      </c>
      <c r="W1" s="2" t="s">
        <v>26</v>
      </c>
      <c r="X1" s="2" t="s">
        <v>14</v>
      </c>
      <c r="Y1" s="13" t="s">
        <v>27</v>
      </c>
      <c r="Z1" s="2" t="s">
        <v>28</v>
      </c>
      <c r="AA1" s="13" t="s">
        <v>29</v>
      </c>
      <c r="AB1" s="13" t="s">
        <v>30</v>
      </c>
      <c r="AC1" s="13" t="s">
        <v>31</v>
      </c>
      <c r="AD1" s="13" t="s">
        <v>32</v>
      </c>
      <c r="AE1" s="13" t="s">
        <v>33</v>
      </c>
      <c r="AF1" s="13" t="s">
        <v>28</v>
      </c>
      <c r="AG1" s="13" t="s">
        <v>34</v>
      </c>
      <c r="AH1" s="13" t="s">
        <v>35</v>
      </c>
      <c r="AI1" s="13" t="s">
        <v>36</v>
      </c>
      <c r="AJ1" s="13" t="s">
        <v>37</v>
      </c>
      <c r="AK1" s="13" t="s">
        <v>38</v>
      </c>
      <c r="AL1" s="13" t="s">
        <v>39</v>
      </c>
      <c r="AM1" s="13" t="s">
        <v>31</v>
      </c>
      <c r="AN1" s="13" t="s">
        <v>34</v>
      </c>
    </row>
    <row r="2" spans="1:40" x14ac:dyDescent="0.25">
      <c r="A2" s="1">
        <v>45322.666666666664</v>
      </c>
      <c r="B2">
        <v>20240216</v>
      </c>
      <c r="C2">
        <v>4663.5</v>
      </c>
      <c r="D2" s="14">
        <v>4648.2287960000003</v>
      </c>
      <c r="E2" t="s">
        <v>40</v>
      </c>
      <c r="F2">
        <v>3475</v>
      </c>
      <c r="G2">
        <v>10</v>
      </c>
      <c r="H2" t="s">
        <v>41</v>
      </c>
      <c r="I2" s="3">
        <v>0.1</v>
      </c>
      <c r="J2" s="14">
        <v>0.3</v>
      </c>
      <c r="K2" s="14">
        <v>48.857054120000001</v>
      </c>
      <c r="L2" s="14">
        <v>0.64329366399999999</v>
      </c>
      <c r="M2" s="14">
        <v>0.15393880800000001</v>
      </c>
      <c r="N2" s="14">
        <v>-1.1788460000000001E-3</v>
      </c>
      <c r="O2" s="14">
        <v>3.6357529E-2</v>
      </c>
      <c r="P2" s="21">
        <v>3.9897509100430398E-6</v>
      </c>
      <c r="Q2" s="14">
        <v>-4.1095451999999998E-2</v>
      </c>
      <c r="R2">
        <v>0</v>
      </c>
      <c r="S2" t="b">
        <v>1</v>
      </c>
      <c r="T2" s="1">
        <v>45322.666666666664</v>
      </c>
      <c r="U2" s="1">
        <v>45338.666666666664</v>
      </c>
      <c r="V2" s="14">
        <v>4.3835616438356165E-2</v>
      </c>
      <c r="W2">
        <v>3.7900000000000003E-2</v>
      </c>
      <c r="X2">
        <v>0.2</v>
      </c>
      <c r="Y2" s="14">
        <v>0.29417176016802565</v>
      </c>
      <c r="Z2">
        <v>5.7900000000000007E-2</v>
      </c>
      <c r="AA2" s="14">
        <v>4.3835616438356165E-2</v>
      </c>
      <c r="AB2" s="14">
        <v>4.1873913807217097E-2</v>
      </c>
      <c r="AC2" s="14">
        <v>7.0857919736336568</v>
      </c>
      <c r="AD2" s="14">
        <v>0.99999999999930878</v>
      </c>
      <c r="AE2" s="14">
        <v>6.9125677673652835E-13</v>
      </c>
      <c r="AF2" s="14">
        <v>1.7899999999999999E-2</v>
      </c>
      <c r="AG2" s="14">
        <v>7.0439180598264395</v>
      </c>
      <c r="AH2" s="14">
        <v>0.99999999999906541</v>
      </c>
      <c r="AI2" s="14">
        <v>9.3454042901350155E-13</v>
      </c>
      <c r="AJ2" s="14" t="s">
        <v>40</v>
      </c>
      <c r="AK2" s="14">
        <v>1.8461146728812432E-11</v>
      </c>
      <c r="AL2" s="14">
        <v>1.8461146728812432E-11</v>
      </c>
      <c r="AM2" s="14">
        <v>7.0857919736336568</v>
      </c>
      <c r="AN2" s="14">
        <v>7.0439180598264395</v>
      </c>
    </row>
    <row r="3" spans="1:40" x14ac:dyDescent="0.25">
      <c r="A3" s="1">
        <v>45322.666666666664</v>
      </c>
      <c r="B3">
        <v>20240216</v>
      </c>
      <c r="C3">
        <v>4663.5</v>
      </c>
      <c r="D3" s="14">
        <v>4648.2287960000003</v>
      </c>
      <c r="E3" t="s">
        <v>40</v>
      </c>
      <c r="F3">
        <v>3500</v>
      </c>
      <c r="G3">
        <v>10</v>
      </c>
      <c r="H3" t="s">
        <v>41</v>
      </c>
      <c r="I3" s="3">
        <v>0.1</v>
      </c>
      <c r="J3" s="14">
        <v>0.3</v>
      </c>
      <c r="K3" s="14">
        <v>48.166936720000002</v>
      </c>
      <c r="L3" s="14">
        <v>0.64329366399999999</v>
      </c>
      <c r="M3" s="14">
        <v>0.17033622600000001</v>
      </c>
      <c r="N3" s="14">
        <v>-1.3127029999999999E-3</v>
      </c>
      <c r="O3" s="14">
        <v>4.011675E-2</v>
      </c>
      <c r="P3" s="21">
        <v>4.1760691573455398E-6</v>
      </c>
      <c r="Q3" s="14">
        <v>-4.1807978000000003E-2</v>
      </c>
      <c r="R3">
        <v>0</v>
      </c>
      <c r="S3" t="b">
        <v>1</v>
      </c>
      <c r="T3" s="1">
        <v>45322.666666666664</v>
      </c>
      <c r="U3" s="1">
        <v>45338.666666666664</v>
      </c>
      <c r="V3" s="14">
        <v>4.3835616438356165E-2</v>
      </c>
      <c r="W3">
        <v>3.7900000000000003E-2</v>
      </c>
      <c r="X3">
        <v>0.2</v>
      </c>
      <c r="Y3" s="14">
        <v>0.28700327068941323</v>
      </c>
      <c r="Z3">
        <v>5.7900000000000007E-2</v>
      </c>
      <c r="AA3" s="14">
        <v>4.3835616438356165E-2</v>
      </c>
      <c r="AB3" s="14">
        <v>4.1873913807217097E-2</v>
      </c>
      <c r="AC3" s="14">
        <v>6.9145997246450532</v>
      </c>
      <c r="AD3" s="14">
        <v>0.9999999999976541</v>
      </c>
      <c r="AE3" s="14">
        <v>2.3459312835179491E-12</v>
      </c>
      <c r="AF3" s="14">
        <v>1.7899999999999999E-2</v>
      </c>
      <c r="AG3" s="14">
        <v>6.872725810837836</v>
      </c>
      <c r="AH3" s="14">
        <v>0.99999999999685063</v>
      </c>
      <c r="AI3" s="14">
        <v>3.1493280990907471E-12</v>
      </c>
      <c r="AJ3" s="14" t="s">
        <v>40</v>
      </c>
      <c r="AK3" s="14">
        <v>6.4100314017293791E-11</v>
      </c>
      <c r="AL3" s="14">
        <v>6.4100314017293791E-11</v>
      </c>
      <c r="AM3" s="14">
        <v>6.9145997246450532</v>
      </c>
      <c r="AN3" s="14">
        <v>6.872725810837836</v>
      </c>
    </row>
    <row r="4" spans="1:40" x14ac:dyDescent="0.25">
      <c r="A4" s="1">
        <v>45322.666666666664</v>
      </c>
      <c r="B4">
        <v>20240216</v>
      </c>
      <c r="C4">
        <v>4663.5</v>
      </c>
      <c r="D4" s="14">
        <v>4648.2287960000003</v>
      </c>
      <c r="E4" t="s">
        <v>40</v>
      </c>
      <c r="F4">
        <v>3525</v>
      </c>
      <c r="G4">
        <v>10</v>
      </c>
      <c r="H4" t="s">
        <v>41</v>
      </c>
      <c r="I4" s="3">
        <v>0.1</v>
      </c>
      <c r="J4" s="14">
        <v>0.3</v>
      </c>
      <c r="K4" s="14">
        <v>47.45914544</v>
      </c>
      <c r="L4" s="14">
        <v>0.64329366399999999</v>
      </c>
      <c r="M4" s="14">
        <v>0.18774026099999999</v>
      </c>
      <c r="N4" s="14">
        <v>-1.4570609999999999E-3</v>
      </c>
      <c r="O4" s="14">
        <v>4.4127699999999999E-2</v>
      </c>
      <c r="P4" s="21">
        <v>4.5303850617614299E-6</v>
      </c>
      <c r="Q4" s="14">
        <v>-4.4031995999999997E-2</v>
      </c>
      <c r="R4">
        <v>0</v>
      </c>
      <c r="S4" t="b">
        <v>1</v>
      </c>
      <c r="T4" s="1">
        <v>45322.666666666664</v>
      </c>
      <c r="U4" s="1">
        <v>45338.666666666664</v>
      </c>
      <c r="V4" s="14">
        <v>4.3835616438356165E-2</v>
      </c>
      <c r="W4">
        <v>3.7900000000000003E-2</v>
      </c>
      <c r="X4">
        <v>0.2</v>
      </c>
      <c r="Y4" s="14">
        <v>0.27988580292054921</v>
      </c>
      <c r="Z4">
        <v>5.7900000000000007E-2</v>
      </c>
      <c r="AA4" s="14">
        <v>4.3835616438356165E-2</v>
      </c>
      <c r="AB4" s="14">
        <v>4.1873913807217097E-2</v>
      </c>
      <c r="AC4" s="14">
        <v>6.7446259361515279</v>
      </c>
      <c r="AD4" s="14">
        <v>0.99999999999232891</v>
      </c>
      <c r="AE4" s="14">
        <v>7.6710883726056256E-12</v>
      </c>
      <c r="AF4" s="14">
        <v>1.7899999999999999E-2</v>
      </c>
      <c r="AG4" s="14">
        <v>6.7027520223443107</v>
      </c>
      <c r="AH4" s="14">
        <v>0.99999999998977351</v>
      </c>
      <c r="AI4" s="14">
        <v>1.0226519755078541E-11</v>
      </c>
      <c r="AJ4" s="14" t="s">
        <v>40</v>
      </c>
      <c r="AK4" s="14">
        <v>2.1452137124267747E-10</v>
      </c>
      <c r="AL4" s="14">
        <v>2.1452137124267747E-10</v>
      </c>
      <c r="AM4" s="14">
        <v>6.7446259361515279</v>
      </c>
      <c r="AN4" s="14">
        <v>6.7027520223443107</v>
      </c>
    </row>
    <row r="5" spans="1:40" x14ac:dyDescent="0.25">
      <c r="A5" s="1">
        <v>45322.666666666664</v>
      </c>
      <c r="B5">
        <v>20240216</v>
      </c>
      <c r="C5">
        <v>4663.5</v>
      </c>
      <c r="D5" s="14">
        <v>4648.2287960000003</v>
      </c>
      <c r="E5" t="s">
        <v>40</v>
      </c>
      <c r="F5">
        <v>3550</v>
      </c>
      <c r="G5">
        <v>10</v>
      </c>
      <c r="H5" t="s">
        <v>41</v>
      </c>
      <c r="I5" s="3">
        <v>0.1</v>
      </c>
      <c r="J5" s="14">
        <v>0.3</v>
      </c>
      <c r="K5" s="14">
        <v>46.734089130000001</v>
      </c>
      <c r="L5" s="14">
        <v>0.64329366399999999</v>
      </c>
      <c r="M5" s="14">
        <v>0.20614533900000001</v>
      </c>
      <c r="N5" s="14">
        <v>-1.612383E-3</v>
      </c>
      <c r="O5" s="14">
        <v>4.8397795E-2</v>
      </c>
      <c r="P5" s="21">
        <v>4.90361016091793E-6</v>
      </c>
      <c r="Q5" s="14">
        <v>-4.6214357999999997E-2</v>
      </c>
      <c r="R5">
        <v>0</v>
      </c>
      <c r="S5" t="b">
        <v>1</v>
      </c>
      <c r="T5" s="1">
        <v>45322.666666666664</v>
      </c>
      <c r="U5" s="1">
        <v>45338.666666666664</v>
      </c>
      <c r="V5" s="14">
        <v>4.3835616438356165E-2</v>
      </c>
      <c r="W5">
        <v>3.7900000000000003E-2</v>
      </c>
      <c r="X5">
        <v>0.2</v>
      </c>
      <c r="Y5" s="14">
        <v>0.27281863569745668</v>
      </c>
      <c r="Z5">
        <v>5.7900000000000007E-2</v>
      </c>
      <c r="AA5" s="14">
        <v>4.3835616438356165E-2</v>
      </c>
      <c r="AB5" s="14">
        <v>4.1873913807217097E-2</v>
      </c>
      <c r="AC5" s="14">
        <v>6.5758533858800394</v>
      </c>
      <c r="AD5" s="14">
        <v>0.99999999997581257</v>
      </c>
      <c r="AE5" s="14">
        <v>2.4187452123269261E-11</v>
      </c>
      <c r="AF5" s="14">
        <v>1.7899999999999999E-2</v>
      </c>
      <c r="AG5" s="14">
        <v>6.5339794720728221</v>
      </c>
      <c r="AH5" s="14">
        <v>0.99999999996797762</v>
      </c>
      <c r="AI5" s="14">
        <v>3.2022363673840705E-11</v>
      </c>
      <c r="AJ5" s="14" t="s">
        <v>40</v>
      </c>
      <c r="AK5" s="14">
        <v>6.9250135017475747E-10</v>
      </c>
      <c r="AL5" s="14">
        <v>6.9250135017475747E-10</v>
      </c>
      <c r="AM5" s="14">
        <v>6.5758533858800394</v>
      </c>
      <c r="AN5" s="14">
        <v>6.5339794720728221</v>
      </c>
    </row>
    <row r="6" spans="1:40" x14ac:dyDescent="0.25">
      <c r="A6" s="1">
        <v>45322.666666666664</v>
      </c>
      <c r="B6">
        <v>20240216</v>
      </c>
      <c r="C6">
        <v>4663.5</v>
      </c>
      <c r="D6" s="14">
        <v>4648.2287960000003</v>
      </c>
      <c r="E6" t="s">
        <v>40</v>
      </c>
      <c r="F6">
        <v>3575</v>
      </c>
      <c r="G6">
        <v>10</v>
      </c>
      <c r="H6" t="s">
        <v>41</v>
      </c>
      <c r="I6" s="3">
        <v>0.1</v>
      </c>
      <c r="J6" s="14">
        <v>0.3</v>
      </c>
      <c r="K6" s="14">
        <v>45.992165819999997</v>
      </c>
      <c r="L6" s="14">
        <v>0.64329366399999999</v>
      </c>
      <c r="M6" s="14">
        <v>0.22554068299999999</v>
      </c>
      <c r="N6" s="14">
        <v>-1.7791459999999999E-3</v>
      </c>
      <c r="O6" s="14">
        <v>5.2934547999999998E-2</v>
      </c>
      <c r="P6" s="21">
        <v>5.2964912609790999E-6</v>
      </c>
      <c r="Q6" s="14">
        <v>-4.8344760000000001E-2</v>
      </c>
      <c r="R6">
        <v>0</v>
      </c>
      <c r="S6" t="b">
        <v>1</v>
      </c>
      <c r="T6" s="1">
        <v>45322.666666666664</v>
      </c>
      <c r="U6" s="1">
        <v>45338.666666666664</v>
      </c>
      <c r="V6" s="14">
        <v>4.3835616438356165E-2</v>
      </c>
      <c r="W6">
        <v>3.7900000000000003E-2</v>
      </c>
      <c r="X6">
        <v>0.2</v>
      </c>
      <c r="Y6" s="14">
        <v>0.26580106303881013</v>
      </c>
      <c r="Z6">
        <v>5.7900000000000007E-2</v>
      </c>
      <c r="AA6" s="14">
        <v>4.3835616438356165E-2</v>
      </c>
      <c r="AB6" s="14">
        <v>4.1873913807217097E-2</v>
      </c>
      <c r="AC6" s="14">
        <v>6.4082652141377308</v>
      </c>
      <c r="AD6" s="14">
        <v>0.99999999992640765</v>
      </c>
      <c r="AE6" s="14">
        <v>7.3592358172110946E-11</v>
      </c>
      <c r="AF6" s="14">
        <v>1.7899999999999999E-2</v>
      </c>
      <c r="AG6" s="14">
        <v>6.3663913003305135</v>
      </c>
      <c r="AH6" s="14">
        <v>0.99999999990323629</v>
      </c>
      <c r="AI6" s="14">
        <v>9.6763668481452923E-11</v>
      </c>
      <c r="AJ6" s="14" t="s">
        <v>40</v>
      </c>
      <c r="AK6" s="14">
        <v>2.1579117632795536E-9</v>
      </c>
      <c r="AL6" s="14">
        <v>2.1579117632795536E-9</v>
      </c>
      <c r="AM6" s="14">
        <v>6.4082652141377308</v>
      </c>
      <c r="AN6" s="14">
        <v>6.3663913003305135</v>
      </c>
    </row>
    <row r="7" spans="1:40" x14ac:dyDescent="0.25">
      <c r="A7" s="1">
        <v>45322.666666666664</v>
      </c>
      <c r="B7">
        <v>20240216</v>
      </c>
      <c r="C7">
        <v>4663.5</v>
      </c>
      <c r="D7" s="14">
        <v>4648.2287960000003</v>
      </c>
      <c r="E7" t="s">
        <v>40</v>
      </c>
      <c r="F7">
        <v>3600</v>
      </c>
      <c r="G7">
        <v>10</v>
      </c>
      <c r="H7" t="s">
        <v>41</v>
      </c>
      <c r="I7" s="3">
        <v>0.2</v>
      </c>
      <c r="J7" s="14">
        <v>0.4</v>
      </c>
      <c r="K7" s="14">
        <v>45.233763070000002</v>
      </c>
      <c r="L7" s="14">
        <v>0.64329366399999999</v>
      </c>
      <c r="M7" s="14">
        <v>0.245910355</v>
      </c>
      <c r="N7" s="14">
        <v>-1.9578410000000001E-3</v>
      </c>
      <c r="O7" s="14">
        <v>5.7745638000000002E-2</v>
      </c>
      <c r="P7" s="21">
        <v>5.7098935409154504E-6</v>
      </c>
      <c r="Q7" s="14">
        <v>-5.0413502999999998E-2</v>
      </c>
      <c r="R7">
        <v>0</v>
      </c>
      <c r="S7" t="b">
        <v>1</v>
      </c>
      <c r="T7" s="1">
        <v>45322.666666666664</v>
      </c>
      <c r="U7" s="1">
        <v>45338.666666666664</v>
      </c>
      <c r="V7" s="14">
        <v>4.3835616438356165E-2</v>
      </c>
      <c r="W7">
        <v>3.7900000000000003E-2</v>
      </c>
      <c r="X7">
        <v>0.2</v>
      </c>
      <c r="Y7" s="14">
        <v>0.25883239372271682</v>
      </c>
      <c r="Z7">
        <v>5.7900000000000007E-2</v>
      </c>
      <c r="AA7" s="14">
        <v>4.3835616438356165E-2</v>
      </c>
      <c r="AB7" s="14">
        <v>4.1873913807217097E-2</v>
      </c>
      <c r="AC7" s="14">
        <v>6.241844913704953</v>
      </c>
      <c r="AD7" s="14">
        <v>0.99999999978378018</v>
      </c>
      <c r="AE7" s="14">
        <v>2.1621980507534565E-10</v>
      </c>
      <c r="AF7" s="14">
        <v>1.7899999999999999E-2</v>
      </c>
      <c r="AG7" s="14">
        <v>6.1999709998977357</v>
      </c>
      <c r="AH7" s="14">
        <v>0.9999999997176322</v>
      </c>
      <c r="AI7" s="14">
        <v>2.8236782829797811E-10</v>
      </c>
      <c r="AJ7" s="14" t="s">
        <v>40</v>
      </c>
      <c r="AK7" s="14">
        <v>6.4957003660003204E-9</v>
      </c>
      <c r="AL7" s="14">
        <v>6.4957003660003204E-9</v>
      </c>
      <c r="AM7" s="14">
        <v>6.241844913704953</v>
      </c>
      <c r="AN7" s="14">
        <v>6.1999709998977357</v>
      </c>
    </row>
    <row r="8" spans="1:40" x14ac:dyDescent="0.25">
      <c r="A8" s="1">
        <v>45322.666666666664</v>
      </c>
      <c r="B8">
        <v>20240216</v>
      </c>
      <c r="C8">
        <v>4663.5</v>
      </c>
      <c r="D8" s="14">
        <v>4648.2287960000003</v>
      </c>
      <c r="E8" t="s">
        <v>40</v>
      </c>
      <c r="F8">
        <v>3625</v>
      </c>
      <c r="G8">
        <v>10</v>
      </c>
      <c r="H8" t="s">
        <v>41</v>
      </c>
      <c r="I8" s="3">
        <v>0.2</v>
      </c>
      <c r="J8" s="14">
        <v>0.4</v>
      </c>
      <c r="K8" s="14">
        <v>44.459258269999999</v>
      </c>
      <c r="L8" s="14">
        <v>0.64329366399999999</v>
      </c>
      <c r="M8" s="14">
        <v>0.26723332900000002</v>
      </c>
      <c r="N8" s="14">
        <v>-2.14898E-3</v>
      </c>
      <c r="O8" s="14">
        <v>6.2838993999999995E-2</v>
      </c>
      <c r="P8" s="21">
        <v>6.1448234340353002E-6</v>
      </c>
      <c r="Q8" s="14">
        <v>-5.2411580999999999E-2</v>
      </c>
      <c r="R8">
        <v>0</v>
      </c>
      <c r="S8" t="b">
        <v>1</v>
      </c>
      <c r="T8" s="1">
        <v>45322.666666666664</v>
      </c>
      <c r="U8" s="1">
        <v>45338.666666666664</v>
      </c>
      <c r="V8" s="14">
        <v>4.3835616438356165E-2</v>
      </c>
      <c r="W8">
        <v>3.7900000000000003E-2</v>
      </c>
      <c r="X8">
        <v>0.2</v>
      </c>
      <c r="Y8" s="14">
        <v>0.25191195087814311</v>
      </c>
      <c r="Z8">
        <v>5.7900000000000007E-2</v>
      </c>
      <c r="AA8" s="14">
        <v>4.3835616438356165E-2</v>
      </c>
      <c r="AB8" s="14">
        <v>4.1873913807217097E-2</v>
      </c>
      <c r="AC8" s="14">
        <v>6.0765763200780309</v>
      </c>
      <c r="AD8" s="14">
        <v>0.99999999938612205</v>
      </c>
      <c r="AE8" s="14">
        <v>6.1387791882284009E-10</v>
      </c>
      <c r="AF8" s="14">
        <v>1.7899999999999999E-2</v>
      </c>
      <c r="AG8" s="14">
        <v>6.0347024062708137</v>
      </c>
      <c r="AH8" s="14">
        <v>0.99999999920372051</v>
      </c>
      <c r="AI8" s="14">
        <v>7.962795100452306E-10</v>
      </c>
      <c r="AJ8" s="14" t="s">
        <v>40</v>
      </c>
      <c r="AK8" s="14">
        <v>1.8901964803560961E-8</v>
      </c>
      <c r="AL8" s="14">
        <v>1.8901964803560961E-8</v>
      </c>
      <c r="AM8" s="14">
        <v>6.0765763200780309</v>
      </c>
      <c r="AN8" s="14">
        <v>6.0347024062708137</v>
      </c>
    </row>
    <row r="9" spans="1:40" x14ac:dyDescent="0.25">
      <c r="A9" s="1">
        <v>45322.666666666664</v>
      </c>
      <c r="B9">
        <v>20240216</v>
      </c>
      <c r="C9">
        <v>4663.5</v>
      </c>
      <c r="D9" s="14">
        <v>4648.2287960000003</v>
      </c>
      <c r="E9" t="s">
        <v>40</v>
      </c>
      <c r="F9">
        <v>3650</v>
      </c>
      <c r="G9">
        <v>10</v>
      </c>
      <c r="H9" t="s">
        <v>41</v>
      </c>
      <c r="I9" s="3">
        <v>0.2</v>
      </c>
      <c r="J9" s="14">
        <v>0.4</v>
      </c>
      <c r="K9" s="14">
        <v>43.669018999999999</v>
      </c>
      <c r="L9" s="14">
        <v>0.64329366399999999</v>
      </c>
      <c r="M9" s="14">
        <v>0.28948361299999997</v>
      </c>
      <c r="N9" s="14">
        <v>-2.3531009999999998E-3</v>
      </c>
      <c r="O9" s="14">
        <v>6.8222891999999993E-2</v>
      </c>
      <c r="P9" s="21">
        <v>6.60245517710319E-6</v>
      </c>
      <c r="Q9" s="14">
        <v>-5.4330757E-2</v>
      </c>
      <c r="R9">
        <v>0</v>
      </c>
      <c r="S9" t="b">
        <v>1</v>
      </c>
      <c r="T9" s="1">
        <v>45322.666666666664</v>
      </c>
      <c r="U9" s="1">
        <v>45338.666666666664</v>
      </c>
      <c r="V9" s="14">
        <v>4.3835616438356165E-2</v>
      </c>
      <c r="W9">
        <v>3.7900000000000003E-2</v>
      </c>
      <c r="X9">
        <v>0.2</v>
      </c>
      <c r="Y9" s="14">
        <v>0.24503907159038102</v>
      </c>
      <c r="Z9">
        <v>5.7900000000000007E-2</v>
      </c>
      <c r="AA9" s="14">
        <v>4.3835616438356165E-2</v>
      </c>
      <c r="AB9" s="14">
        <v>4.1873913807217097E-2</v>
      </c>
      <c r="AC9" s="14">
        <v>5.9124436020473237</v>
      </c>
      <c r="AD9" s="14">
        <v>0.99999999831465358</v>
      </c>
      <c r="AE9" s="14">
        <v>1.6853463816278612E-9</v>
      </c>
      <c r="AF9" s="14">
        <v>1.7899999999999999E-2</v>
      </c>
      <c r="AG9" s="14">
        <v>5.8705696882401073</v>
      </c>
      <c r="AH9" s="14">
        <v>0.99999999782849913</v>
      </c>
      <c r="AI9" s="14">
        <v>2.171500878948828E-9</v>
      </c>
      <c r="AJ9" s="14" t="s">
        <v>40</v>
      </c>
      <c r="AK9" s="14">
        <v>5.3208308500329486E-8</v>
      </c>
      <c r="AL9" s="14">
        <v>5.3208308500329486E-8</v>
      </c>
      <c r="AM9" s="14">
        <v>5.9124436020473237</v>
      </c>
      <c r="AN9" s="14">
        <v>5.8705696882401073</v>
      </c>
    </row>
    <row r="10" spans="1:40" x14ac:dyDescent="0.25">
      <c r="A10" s="1">
        <v>45322.666666666664</v>
      </c>
      <c r="B10">
        <v>20240216</v>
      </c>
      <c r="C10">
        <v>4663.5</v>
      </c>
      <c r="D10" s="14">
        <v>4648.2287960000003</v>
      </c>
      <c r="E10" t="s">
        <v>40</v>
      </c>
      <c r="F10">
        <v>3675</v>
      </c>
      <c r="G10">
        <v>10</v>
      </c>
      <c r="H10" t="s">
        <v>41</v>
      </c>
      <c r="I10" s="3">
        <v>0.2</v>
      </c>
      <c r="J10" s="14">
        <v>0.5</v>
      </c>
      <c r="K10" s="14">
        <v>42.863403320000003</v>
      </c>
      <c r="L10" s="14">
        <v>0.64329366399999999</v>
      </c>
      <c r="M10" s="14">
        <v>0.31263040800000003</v>
      </c>
      <c r="N10" s="14">
        <v>-2.5707690000000001E-3</v>
      </c>
      <c r="O10" s="14">
        <v>7.3906061999999995E-2</v>
      </c>
      <c r="P10" s="21">
        <v>7.0841618569836598E-6</v>
      </c>
      <c r="Q10" s="14">
        <v>-5.6163633999999997E-2</v>
      </c>
      <c r="R10">
        <v>0</v>
      </c>
      <c r="S10" t="b">
        <v>1</v>
      </c>
      <c r="T10" s="1">
        <v>45322.666666666664</v>
      </c>
      <c r="U10" s="1">
        <v>45338.666666666664</v>
      </c>
      <c r="V10" s="14">
        <v>4.3835616438356165E-2</v>
      </c>
      <c r="W10">
        <v>3.7900000000000003E-2</v>
      </c>
      <c r="X10">
        <v>0.2</v>
      </c>
      <c r="Y10" s="14">
        <v>0.23821310651998107</v>
      </c>
      <c r="Z10">
        <v>5.7900000000000007E-2</v>
      </c>
      <c r="AA10" s="14">
        <v>4.3835616438356165E-2</v>
      </c>
      <c r="AB10" s="14">
        <v>4.1873913807217097E-2</v>
      </c>
      <c r="AC10" s="14">
        <v>5.7494312525968772</v>
      </c>
      <c r="AD10" s="14">
        <v>0.9999999955227924</v>
      </c>
      <c r="AE10" s="14">
        <v>4.4772076516594974E-9</v>
      </c>
      <c r="AF10" s="14">
        <v>1.7899999999999999E-2</v>
      </c>
      <c r="AG10" s="14">
        <v>5.7075573387896608</v>
      </c>
      <c r="AH10" s="14">
        <v>0.99999999426954911</v>
      </c>
      <c r="AI10" s="14">
        <v>5.7304508779397636E-9</v>
      </c>
      <c r="AJ10" s="14" t="s">
        <v>40</v>
      </c>
      <c r="AK10" s="14">
        <v>1.4499067630176644E-7</v>
      </c>
      <c r="AL10" s="14">
        <v>1.4499067630176644E-7</v>
      </c>
      <c r="AM10" s="14">
        <v>5.7494312525968772</v>
      </c>
      <c r="AN10" s="14">
        <v>5.7075573387896608</v>
      </c>
    </row>
    <row r="11" spans="1:40" x14ac:dyDescent="0.25">
      <c r="A11" s="1">
        <v>45322.666666666664</v>
      </c>
      <c r="B11">
        <v>20240216</v>
      </c>
      <c r="C11">
        <v>4663.5</v>
      </c>
      <c r="D11" s="14">
        <v>4648.2287960000003</v>
      </c>
      <c r="E11" t="s">
        <v>40</v>
      </c>
      <c r="F11">
        <v>3700</v>
      </c>
      <c r="G11">
        <v>10</v>
      </c>
      <c r="H11" t="s">
        <v>41</v>
      </c>
      <c r="I11" s="3">
        <v>0.2</v>
      </c>
      <c r="J11" s="14">
        <v>0.5</v>
      </c>
      <c r="K11" s="14">
        <v>42.042760049999998</v>
      </c>
      <c r="L11" s="14">
        <v>0.64329366399999999</v>
      </c>
      <c r="M11" s="14">
        <v>0.336638308</v>
      </c>
      <c r="N11" s="14">
        <v>-2.8025839999999999E-3</v>
      </c>
      <c r="O11" s="14">
        <v>7.9897817999999995E-2</v>
      </c>
      <c r="P11" s="21">
        <v>7.8001748235415498E-6</v>
      </c>
      <c r="Q11" s="14">
        <v>-5.9494962999999998E-2</v>
      </c>
      <c r="R11">
        <v>0</v>
      </c>
      <c r="S11" t="b">
        <v>1</v>
      </c>
      <c r="T11" s="1">
        <v>45322.666666666664</v>
      </c>
      <c r="U11" s="1">
        <v>45338.666666666664</v>
      </c>
      <c r="V11" s="14">
        <v>4.3835616438356165E-2</v>
      </c>
      <c r="W11">
        <v>3.7900000000000003E-2</v>
      </c>
      <c r="X11">
        <v>0.2</v>
      </c>
      <c r="Y11" s="14">
        <v>0.23143341953460242</v>
      </c>
      <c r="Z11">
        <v>5.7900000000000007E-2</v>
      </c>
      <c r="AA11" s="14">
        <v>4.3835616438356165E-2</v>
      </c>
      <c r="AB11" s="14">
        <v>4.1873913807217097E-2</v>
      </c>
      <c r="AC11" s="14">
        <v>5.5875240801125576</v>
      </c>
      <c r="AD11" s="14">
        <v>0.99999998848350857</v>
      </c>
      <c r="AE11" s="14">
        <v>1.1516491418784641E-8</v>
      </c>
      <c r="AF11" s="14">
        <v>1.7899999999999999E-2</v>
      </c>
      <c r="AG11" s="14">
        <v>5.5456501663053412</v>
      </c>
      <c r="AH11" s="14">
        <v>0.99999998535680701</v>
      </c>
      <c r="AI11" s="14">
        <v>1.4643193011024621E-8</v>
      </c>
      <c r="AJ11" s="14" t="s">
        <v>40</v>
      </c>
      <c r="AK11" s="14">
        <v>3.8271842970300049E-7</v>
      </c>
      <c r="AL11" s="14">
        <v>3.8271842970300049E-7</v>
      </c>
      <c r="AM11" s="14">
        <v>5.5875240801125576</v>
      </c>
      <c r="AN11" s="14">
        <v>5.5456501663053412</v>
      </c>
    </row>
    <row r="12" spans="1:40" x14ac:dyDescent="0.25">
      <c r="A12" s="1">
        <v>45322.666666666664</v>
      </c>
      <c r="B12">
        <v>20240216</v>
      </c>
      <c r="C12">
        <v>4663.5</v>
      </c>
      <c r="D12" s="14">
        <v>4648.2287960000003</v>
      </c>
      <c r="E12" t="s">
        <v>40</v>
      </c>
      <c r="F12">
        <v>3725</v>
      </c>
      <c r="G12">
        <v>10</v>
      </c>
      <c r="H12" t="s">
        <v>41</v>
      </c>
      <c r="I12" s="3">
        <v>0.3</v>
      </c>
      <c r="J12" s="14">
        <v>0.4</v>
      </c>
      <c r="K12" s="14">
        <v>41.22935683</v>
      </c>
      <c r="L12" s="14">
        <v>0.64329366399999999</v>
      </c>
      <c r="M12" s="14">
        <v>0.36336156800000002</v>
      </c>
      <c r="N12" s="14">
        <v>-3.062338E-3</v>
      </c>
      <c r="O12" s="14">
        <v>8.6542874000000006E-2</v>
      </c>
      <c r="P12" s="21">
        <v>9.0391717516499092E-6</v>
      </c>
      <c r="Q12" s="14">
        <v>-6.6303306000000006E-2</v>
      </c>
      <c r="R12">
        <v>0</v>
      </c>
      <c r="S12" t="b">
        <v>1</v>
      </c>
      <c r="T12" s="1">
        <v>45322.666666666664</v>
      </c>
      <c r="U12" s="1">
        <v>45338.666666666664</v>
      </c>
      <c r="V12" s="14">
        <v>4.3835616438356165E-2</v>
      </c>
      <c r="W12">
        <v>3.7900000000000003E-2</v>
      </c>
      <c r="X12">
        <v>0.2</v>
      </c>
      <c r="Y12" s="14">
        <v>0.22469938735325826</v>
      </c>
      <c r="Z12">
        <v>5.7900000000000007E-2</v>
      </c>
      <c r="AA12" s="14">
        <v>4.3835616438356165E-2</v>
      </c>
      <c r="AB12" s="14">
        <v>4.1873913807217097E-2</v>
      </c>
      <c r="AC12" s="14">
        <v>5.4267071998861969</v>
      </c>
      <c r="AD12" s="14">
        <v>0.99999997129841023</v>
      </c>
      <c r="AE12" s="14">
        <v>2.8701589777312602E-8</v>
      </c>
      <c r="AF12" s="14">
        <v>1.7899999999999999E-2</v>
      </c>
      <c r="AG12" s="14">
        <v>5.3848332860789805</v>
      </c>
      <c r="AH12" s="14">
        <v>0.99999996374408717</v>
      </c>
      <c r="AI12" s="14">
        <v>3.6255912831092769E-8</v>
      </c>
      <c r="AJ12" s="14" t="s">
        <v>40</v>
      </c>
      <c r="AK12" s="14">
        <v>9.7922420830780883E-7</v>
      </c>
      <c r="AL12" s="14">
        <v>9.7922420830780883E-7</v>
      </c>
      <c r="AM12" s="14">
        <v>5.4267071998861969</v>
      </c>
      <c r="AN12" s="14">
        <v>5.3848332860789805</v>
      </c>
    </row>
    <row r="13" spans="1:40" x14ac:dyDescent="0.25">
      <c r="A13" s="1">
        <v>45322.666666666664</v>
      </c>
      <c r="B13">
        <v>20240216</v>
      </c>
      <c r="C13">
        <v>4663.5</v>
      </c>
      <c r="D13" s="14">
        <v>4648.2287960000003</v>
      </c>
      <c r="E13" t="s">
        <v>40</v>
      </c>
      <c r="F13">
        <v>3750</v>
      </c>
      <c r="G13">
        <v>10</v>
      </c>
      <c r="H13" t="s">
        <v>41</v>
      </c>
      <c r="I13" s="3">
        <v>0.3</v>
      </c>
      <c r="J13" s="14">
        <v>0.6</v>
      </c>
      <c r="K13" s="14">
        <v>40.44486689</v>
      </c>
      <c r="L13" s="14">
        <v>0.64329366399999999</v>
      </c>
      <c r="M13" s="14">
        <v>0.39522628999999998</v>
      </c>
      <c r="N13" s="14">
        <v>-3.3684119999999999E-3</v>
      </c>
      <c r="O13" s="14">
        <v>9.4286832000000001E-2</v>
      </c>
      <c r="P13" s="21">
        <v>1.07295615052148E-5</v>
      </c>
      <c r="Q13" s="14">
        <v>-7.5735974999999997E-2</v>
      </c>
      <c r="R13">
        <v>0</v>
      </c>
      <c r="S13" t="b">
        <v>1</v>
      </c>
      <c r="T13" s="1">
        <v>45322.666666666664</v>
      </c>
      <c r="U13" s="1">
        <v>45338.666666666664</v>
      </c>
      <c r="V13" s="14">
        <v>4.3835616438356165E-2</v>
      </c>
      <c r="W13">
        <v>3.7900000000000003E-2</v>
      </c>
      <c r="X13">
        <v>0.2</v>
      </c>
      <c r="Y13" s="14">
        <v>0.21801039920246174</v>
      </c>
      <c r="Z13">
        <v>5.7900000000000007E-2</v>
      </c>
      <c r="AA13" s="14">
        <v>4.3835616438356165E-2</v>
      </c>
      <c r="AB13" s="14">
        <v>4.1873913807217097E-2</v>
      </c>
      <c r="AC13" s="14">
        <v>5.2669660259039448</v>
      </c>
      <c r="AD13" s="14">
        <v>0.99999993065156867</v>
      </c>
      <c r="AE13" s="14">
        <v>6.9348431279422969E-8</v>
      </c>
      <c r="AF13" s="14">
        <v>1.7899999999999999E-2</v>
      </c>
      <c r="AG13" s="14">
        <v>5.2250921120967275</v>
      </c>
      <c r="AH13" s="14">
        <v>0.99999991296578306</v>
      </c>
      <c r="AI13" s="14">
        <v>8.7034216999623418E-8</v>
      </c>
      <c r="AJ13" s="14" t="s">
        <v>40</v>
      </c>
      <c r="AK13" s="14">
        <v>2.430119559779871E-6</v>
      </c>
      <c r="AL13" s="14">
        <v>2.430119559779871E-6</v>
      </c>
      <c r="AM13" s="14">
        <v>5.2669660259039448</v>
      </c>
      <c r="AN13" s="14">
        <v>5.2250921120967275</v>
      </c>
    </row>
    <row r="14" spans="1:40" x14ac:dyDescent="0.25">
      <c r="A14" s="1">
        <v>45322.666666666664</v>
      </c>
      <c r="B14">
        <v>20240216</v>
      </c>
      <c r="C14">
        <v>4663.5</v>
      </c>
      <c r="D14" s="14">
        <v>4648.2287960000003</v>
      </c>
      <c r="E14" t="s">
        <v>40</v>
      </c>
      <c r="F14">
        <v>3775</v>
      </c>
      <c r="G14">
        <v>10</v>
      </c>
      <c r="H14" t="s">
        <v>41</v>
      </c>
      <c r="I14" s="3">
        <v>0.3</v>
      </c>
      <c r="J14" s="14">
        <v>0.6</v>
      </c>
      <c r="K14" s="14">
        <v>39.688750550000002</v>
      </c>
      <c r="L14" s="14">
        <v>0.64329366399999999</v>
      </c>
      <c r="M14" s="14">
        <v>0.433188833</v>
      </c>
      <c r="N14" s="14">
        <v>-3.729502E-3</v>
      </c>
      <c r="O14" s="14">
        <v>0.103312877</v>
      </c>
      <c r="P14" s="21">
        <v>1.27529745919531E-5</v>
      </c>
      <c r="Q14" s="14">
        <v>-8.6684166000000007E-2</v>
      </c>
      <c r="R14">
        <v>0</v>
      </c>
      <c r="S14" t="b">
        <v>1</v>
      </c>
      <c r="T14" s="1">
        <v>45322.666666666664</v>
      </c>
      <c r="U14" s="1">
        <v>45338.666666666664</v>
      </c>
      <c r="V14" s="14">
        <v>4.3835616438356165E-2</v>
      </c>
      <c r="W14">
        <v>3.7900000000000003E-2</v>
      </c>
      <c r="X14">
        <v>0.2</v>
      </c>
      <c r="Y14" s="14">
        <v>0.21136585648379314</v>
      </c>
      <c r="Z14">
        <v>5.7900000000000007E-2</v>
      </c>
      <c r="AA14" s="14">
        <v>4.3835616438356165E-2</v>
      </c>
      <c r="AB14" s="14">
        <v>4.1873913807217097E-2</v>
      </c>
      <c r="AC14" s="14">
        <v>5.1082862629073604</v>
      </c>
      <c r="AD14" s="14">
        <v>0.99999983745306531</v>
      </c>
      <c r="AE14" s="14">
        <v>1.6254693470245859E-7</v>
      </c>
      <c r="AF14" s="14">
        <v>1.7899999999999999E-2</v>
      </c>
      <c r="AG14" s="14">
        <v>5.066412349100144</v>
      </c>
      <c r="AH14" s="14">
        <v>0.99999979730835953</v>
      </c>
      <c r="AI14" s="14">
        <v>2.0269164049991317E-7</v>
      </c>
      <c r="AJ14" s="14" t="s">
        <v>40</v>
      </c>
      <c r="AK14" s="14">
        <v>5.8531529662607515E-6</v>
      </c>
      <c r="AL14" s="14">
        <v>5.8531529662607515E-6</v>
      </c>
      <c r="AM14" s="14">
        <v>5.1082862629073604</v>
      </c>
      <c r="AN14" s="14">
        <v>5.066412349100144</v>
      </c>
    </row>
    <row r="15" spans="1:40" x14ac:dyDescent="0.25">
      <c r="A15" s="1">
        <v>45322.666666666664</v>
      </c>
      <c r="B15">
        <v>20240216</v>
      </c>
      <c r="C15">
        <v>4663.5</v>
      </c>
      <c r="D15" s="14">
        <v>4648.2287960000003</v>
      </c>
      <c r="E15" t="s">
        <v>40</v>
      </c>
      <c r="F15">
        <v>3800</v>
      </c>
      <c r="G15">
        <v>10</v>
      </c>
      <c r="H15" t="s">
        <v>41</v>
      </c>
      <c r="I15" s="3">
        <v>0.4</v>
      </c>
      <c r="J15" s="14">
        <v>0.6</v>
      </c>
      <c r="K15" s="14">
        <v>38.960480859999997</v>
      </c>
      <c r="L15" s="14">
        <v>0.64329366399999999</v>
      </c>
      <c r="M15" s="14">
        <v>0.47842179499999998</v>
      </c>
      <c r="N15" s="14">
        <v>-4.15614E-3</v>
      </c>
      <c r="O15" s="14">
        <v>0.113837551</v>
      </c>
      <c r="P15" s="21">
        <v>1.4701578538317E-5</v>
      </c>
      <c r="Q15" s="14">
        <v>-9.6295504000000004E-2</v>
      </c>
      <c r="R15">
        <v>0</v>
      </c>
      <c r="S15" t="b">
        <v>1</v>
      </c>
      <c r="T15" s="1">
        <v>45322.666666666664</v>
      </c>
      <c r="U15" s="1">
        <v>45338.666666666664</v>
      </c>
      <c r="V15" s="14">
        <v>4.3835616438356165E-2</v>
      </c>
      <c r="W15">
        <v>3.7900000000000003E-2</v>
      </c>
      <c r="X15">
        <v>0.2</v>
      </c>
      <c r="Y15" s="14">
        <v>0.204765172452441</v>
      </c>
      <c r="Z15">
        <v>5.7900000000000007E-2</v>
      </c>
      <c r="AA15" s="14">
        <v>4.3835616438356165E-2</v>
      </c>
      <c r="AB15" s="14">
        <v>4.1873913807217097E-2</v>
      </c>
      <c r="AC15" s="14">
        <v>4.9506538987165909</v>
      </c>
      <c r="AD15" s="14">
        <v>0.99999963017730031</v>
      </c>
      <c r="AE15" s="14">
        <v>3.6982269969025049E-7</v>
      </c>
      <c r="AF15" s="14">
        <v>1.7899999999999999E-2</v>
      </c>
      <c r="AG15" s="14">
        <v>4.9087799849093745</v>
      </c>
      <c r="AH15" s="14">
        <v>0.99999954177639439</v>
      </c>
      <c r="AI15" s="14">
        <v>4.5822360565413325E-7</v>
      </c>
      <c r="AJ15" s="14" t="s">
        <v>40</v>
      </c>
      <c r="AK15" s="14">
        <v>1.3691083426984642E-5</v>
      </c>
      <c r="AL15" s="14">
        <v>1.3691083426984642E-5</v>
      </c>
      <c r="AM15" s="14">
        <v>4.9506538987165909</v>
      </c>
      <c r="AN15" s="14">
        <v>4.9087799849093745</v>
      </c>
    </row>
    <row r="16" spans="1:40" x14ac:dyDescent="0.25">
      <c r="A16" s="1">
        <v>45322.666666666664</v>
      </c>
      <c r="B16">
        <v>20240216</v>
      </c>
      <c r="C16">
        <v>4663.5</v>
      </c>
      <c r="D16" s="14">
        <v>4648.2287960000003</v>
      </c>
      <c r="E16" t="s">
        <v>40</v>
      </c>
      <c r="F16">
        <v>3825</v>
      </c>
      <c r="G16">
        <v>10</v>
      </c>
      <c r="H16" t="s">
        <v>41</v>
      </c>
      <c r="I16" s="3">
        <v>0.4</v>
      </c>
      <c r="J16" s="14">
        <v>0.7</v>
      </c>
      <c r="K16" s="14">
        <v>38.226553809999999</v>
      </c>
      <c r="L16" s="14">
        <v>0.64329366399999999</v>
      </c>
      <c r="M16" s="14">
        <v>0.52821476099999998</v>
      </c>
      <c r="N16" s="14">
        <v>-4.6316179999999997E-3</v>
      </c>
      <c r="O16" s="14">
        <v>0.12540473699999999</v>
      </c>
      <c r="P16" s="21">
        <v>1.5973389158795999E-5</v>
      </c>
      <c r="Q16" s="14">
        <v>-0.100721177</v>
      </c>
      <c r="R16">
        <v>0</v>
      </c>
      <c r="S16" t="b">
        <v>1</v>
      </c>
      <c r="T16" s="1">
        <v>45322.666666666664</v>
      </c>
      <c r="U16" s="1">
        <v>45338.666666666664</v>
      </c>
      <c r="V16" s="14">
        <v>4.3835616438356165E-2</v>
      </c>
      <c r="W16">
        <v>3.7900000000000003E-2</v>
      </c>
      <c r="X16">
        <v>0.2</v>
      </c>
      <c r="Y16" s="14">
        <v>0.198207771906282</v>
      </c>
      <c r="Z16">
        <v>5.7900000000000007E-2</v>
      </c>
      <c r="AA16" s="14">
        <v>4.3835616438356165E-2</v>
      </c>
      <c r="AB16" s="14">
        <v>4.1873913807217097E-2</v>
      </c>
      <c r="AC16" s="14">
        <v>4.7940551968052159</v>
      </c>
      <c r="AD16" s="14">
        <v>0.99999918278363942</v>
      </c>
      <c r="AE16" s="14">
        <v>8.1721636055621354E-7</v>
      </c>
      <c r="AF16" s="14">
        <v>1.7899999999999999E-2</v>
      </c>
      <c r="AG16" s="14">
        <v>4.7521812829979995</v>
      </c>
      <c r="AH16" s="14">
        <v>0.99999899383088864</v>
      </c>
      <c r="AI16" s="14">
        <v>1.0061691113181774E-6</v>
      </c>
      <c r="AJ16" s="14" t="s">
        <v>40</v>
      </c>
      <c r="AK16" s="14">
        <v>3.1119718927135297E-5</v>
      </c>
      <c r="AL16" s="14">
        <v>3.1119718927135297E-5</v>
      </c>
      <c r="AM16" s="14">
        <v>4.7940551968052159</v>
      </c>
      <c r="AN16" s="14">
        <v>4.7521812829979995</v>
      </c>
    </row>
    <row r="17" spans="1:40" x14ac:dyDescent="0.25">
      <c r="A17" s="1">
        <v>45322.666666666664</v>
      </c>
      <c r="B17">
        <v>20240216</v>
      </c>
      <c r="C17">
        <v>4663.5</v>
      </c>
      <c r="D17" s="14">
        <v>4648.2287960000003</v>
      </c>
      <c r="E17" t="s">
        <v>40</v>
      </c>
      <c r="F17">
        <v>3850</v>
      </c>
      <c r="G17">
        <v>10</v>
      </c>
      <c r="H17" t="s">
        <v>41</v>
      </c>
      <c r="I17" s="3">
        <v>0.5</v>
      </c>
      <c r="J17" s="14">
        <v>0.7</v>
      </c>
      <c r="K17" s="14">
        <v>37.454335649999997</v>
      </c>
      <c r="L17" s="14">
        <v>0.64329366399999999</v>
      </c>
      <c r="M17" s="14">
        <v>0.57856918199999996</v>
      </c>
      <c r="N17" s="14">
        <v>-5.1298910000000001E-3</v>
      </c>
      <c r="O17" s="14">
        <v>0.1373595</v>
      </c>
      <c r="P17" s="21">
        <v>1.6795732473756E-5</v>
      </c>
      <c r="Q17" s="14">
        <v>-0.10167087700000001</v>
      </c>
      <c r="R17">
        <v>0</v>
      </c>
      <c r="S17" t="b">
        <v>1</v>
      </c>
      <c r="T17" s="1">
        <v>45322.666666666664</v>
      </c>
      <c r="U17" s="1">
        <v>45338.666666666664</v>
      </c>
      <c r="V17" s="14">
        <v>4.3835616438356165E-2</v>
      </c>
      <c r="W17">
        <v>3.7900000000000003E-2</v>
      </c>
      <c r="X17">
        <v>0.2</v>
      </c>
      <c r="Y17" s="14">
        <v>0.19169309088508829</v>
      </c>
      <c r="Z17">
        <v>5.7900000000000007E-2</v>
      </c>
      <c r="AA17" s="14">
        <v>4.3835616438356165E-2</v>
      </c>
      <c r="AB17" s="14">
        <v>4.1873913807217097E-2</v>
      </c>
      <c r="AC17" s="14">
        <v>4.6384766891169544</v>
      </c>
      <c r="AD17" s="14">
        <v>0.99999824506743273</v>
      </c>
      <c r="AE17" s="14">
        <v>1.7549325672383144E-6</v>
      </c>
      <c r="AF17" s="14">
        <v>1.7899999999999999E-2</v>
      </c>
      <c r="AG17" s="14">
        <v>4.596602775309738</v>
      </c>
      <c r="AH17" s="14">
        <v>0.99999785282401887</v>
      </c>
      <c r="AI17" s="14">
        <v>2.1471759811547419E-6</v>
      </c>
      <c r="AJ17" s="14" t="s">
        <v>40</v>
      </c>
      <c r="AK17" s="14">
        <v>6.8776976536941148E-5</v>
      </c>
      <c r="AL17" s="14">
        <v>6.8776976536941148E-5</v>
      </c>
      <c r="AM17" s="14">
        <v>4.6384766891169544</v>
      </c>
      <c r="AN17" s="14">
        <v>4.596602775309738</v>
      </c>
    </row>
    <row r="18" spans="1:40" x14ac:dyDescent="0.25">
      <c r="A18" s="1">
        <v>45322.666666666664</v>
      </c>
      <c r="B18">
        <v>20240216</v>
      </c>
      <c r="C18">
        <v>4663.5</v>
      </c>
      <c r="D18" s="14">
        <v>4648.2287960000003</v>
      </c>
      <c r="E18" t="s">
        <v>40</v>
      </c>
      <c r="F18">
        <v>3875</v>
      </c>
      <c r="G18">
        <v>10</v>
      </c>
      <c r="H18" t="s">
        <v>41</v>
      </c>
      <c r="I18" s="3">
        <v>0.5</v>
      </c>
      <c r="J18" s="14">
        <v>0.8</v>
      </c>
      <c r="K18" s="14">
        <v>36.64459995</v>
      </c>
      <c r="L18" s="14">
        <v>0.64329366399999999</v>
      </c>
      <c r="M18" s="14">
        <v>0.62887853599999999</v>
      </c>
      <c r="N18" s="14">
        <v>-5.6488500000000004E-3</v>
      </c>
      <c r="O18" s="14">
        <v>0.14964472000000001</v>
      </c>
      <c r="P18" s="21">
        <v>1.7551813849870398E-5</v>
      </c>
      <c r="Q18" s="14">
        <v>-0.10170338299999999</v>
      </c>
      <c r="R18">
        <v>0</v>
      </c>
      <c r="S18" t="b">
        <v>1</v>
      </c>
      <c r="T18" s="1">
        <v>45322.666666666664</v>
      </c>
      <c r="U18" s="1">
        <v>45338.666666666664</v>
      </c>
      <c r="V18" s="14">
        <v>4.3835616438356165E-2</v>
      </c>
      <c r="W18">
        <v>3.7900000000000003E-2</v>
      </c>
      <c r="X18">
        <v>0.2</v>
      </c>
      <c r="Y18" s="14">
        <v>0.1852205763794709</v>
      </c>
      <c r="Z18">
        <v>5.7900000000000007E-2</v>
      </c>
      <c r="AA18" s="14">
        <v>4.3835616438356165E-2</v>
      </c>
      <c r="AB18" s="14">
        <v>4.1873913807217097E-2</v>
      </c>
      <c r="AC18" s="14">
        <v>4.4839051691148804</v>
      </c>
      <c r="AD18" s="14">
        <v>0.99999633553785672</v>
      </c>
      <c r="AE18" s="14">
        <v>3.6644621432937839E-6</v>
      </c>
      <c r="AF18" s="14">
        <v>1.7899999999999999E-2</v>
      </c>
      <c r="AG18" s="14">
        <v>4.442031255307664</v>
      </c>
      <c r="AH18" s="14">
        <v>0.99999554431942095</v>
      </c>
      <c r="AI18" s="14">
        <v>4.4556805791058481E-6</v>
      </c>
      <c r="AJ18" s="14" t="s">
        <v>40</v>
      </c>
      <c r="AK18" s="14">
        <v>1.4788203658543456E-4</v>
      </c>
      <c r="AL18" s="14">
        <v>1.4788203658543456E-4</v>
      </c>
      <c r="AM18" s="14">
        <v>4.4839051691148804</v>
      </c>
      <c r="AN18" s="14">
        <v>4.442031255307664</v>
      </c>
    </row>
    <row r="19" spans="1:40" x14ac:dyDescent="0.25">
      <c r="A19" s="1">
        <v>45322.666666666664</v>
      </c>
      <c r="B19">
        <v>20240216</v>
      </c>
      <c r="C19">
        <v>4663.5</v>
      </c>
      <c r="D19" s="14">
        <v>4648.2287960000003</v>
      </c>
      <c r="E19" t="s">
        <v>40</v>
      </c>
      <c r="F19">
        <v>3900</v>
      </c>
      <c r="G19">
        <v>10</v>
      </c>
      <c r="H19" t="s">
        <v>41</v>
      </c>
      <c r="I19" s="3">
        <v>0.5</v>
      </c>
      <c r="J19" s="14">
        <v>0.8</v>
      </c>
      <c r="K19" s="14">
        <v>35.798101789999997</v>
      </c>
      <c r="L19" s="14">
        <v>0.64329366399999999</v>
      </c>
      <c r="M19" s="14">
        <v>0.67849021300000001</v>
      </c>
      <c r="N19" s="14">
        <v>-6.186057E-3</v>
      </c>
      <c r="O19" s="14">
        <v>0.16219823899999999</v>
      </c>
      <c r="P19" s="21">
        <v>1.86004216274043E-5</v>
      </c>
      <c r="Q19" s="14">
        <v>-0.102857559</v>
      </c>
      <c r="R19">
        <v>0</v>
      </c>
      <c r="S19" t="b">
        <v>1</v>
      </c>
      <c r="T19" s="1">
        <v>45322.666666666664</v>
      </c>
      <c r="U19" s="1">
        <v>45338.666666666664</v>
      </c>
      <c r="V19" s="14">
        <v>4.3835616438356165E-2</v>
      </c>
      <c r="W19">
        <v>3.7900000000000003E-2</v>
      </c>
      <c r="X19">
        <v>0.2</v>
      </c>
      <c r="Y19" s="14">
        <v>0.17878968604918033</v>
      </c>
      <c r="Z19">
        <v>5.7900000000000007E-2</v>
      </c>
      <c r="AA19" s="14">
        <v>4.3835616438356165E-2</v>
      </c>
      <c r="AB19" s="14">
        <v>4.1873913807217097E-2</v>
      </c>
      <c r="AC19" s="14">
        <v>4.3303276850540957</v>
      </c>
      <c r="AD19" s="14">
        <v>0.99999255561921097</v>
      </c>
      <c r="AE19" s="14">
        <v>7.4443807890490685E-6</v>
      </c>
      <c r="AF19" s="14">
        <v>1.7899999999999999E-2</v>
      </c>
      <c r="AG19" s="14">
        <v>4.2884537712468793</v>
      </c>
      <c r="AH19" s="14">
        <v>0.99999100393823703</v>
      </c>
      <c r="AI19" s="14">
        <v>8.9960617629778074E-6</v>
      </c>
      <c r="AJ19" s="14" t="s">
        <v>40</v>
      </c>
      <c r="AK19" s="14">
        <v>3.0953089350728435E-4</v>
      </c>
      <c r="AL19" s="14">
        <v>3.0953089350728435E-4</v>
      </c>
      <c r="AM19" s="14">
        <v>4.3303276850540957</v>
      </c>
      <c r="AN19" s="14">
        <v>4.2884537712468793</v>
      </c>
    </row>
    <row r="20" spans="1:40" x14ac:dyDescent="0.25">
      <c r="A20" s="1">
        <v>45322.666666666664</v>
      </c>
      <c r="B20">
        <v>20240216</v>
      </c>
      <c r="C20">
        <v>4663.5</v>
      </c>
      <c r="D20" s="14">
        <v>4648.2287960000003</v>
      </c>
      <c r="E20" t="s">
        <v>40</v>
      </c>
      <c r="F20">
        <v>3925</v>
      </c>
      <c r="G20">
        <v>10</v>
      </c>
      <c r="H20" t="s">
        <v>41</v>
      </c>
      <c r="I20" s="3">
        <v>0.6</v>
      </c>
      <c r="J20" s="14">
        <v>0.9</v>
      </c>
      <c r="K20" s="14">
        <v>34.932731230000002</v>
      </c>
      <c r="L20" s="14">
        <v>0.64329366399999999</v>
      </c>
      <c r="M20" s="14">
        <v>0.72971641200000004</v>
      </c>
      <c r="N20" s="14">
        <v>-6.7609410000000003E-3</v>
      </c>
      <c r="O20" s="14">
        <v>0.17546223799999999</v>
      </c>
      <c r="P20" s="21">
        <v>2.0437922511708199E-5</v>
      </c>
      <c r="Q20" s="14">
        <v>-0.107620563</v>
      </c>
      <c r="R20">
        <v>0</v>
      </c>
      <c r="S20" t="b">
        <v>1</v>
      </c>
      <c r="T20" s="1">
        <v>45322.666666666664</v>
      </c>
      <c r="U20" s="1">
        <v>45338.666666666664</v>
      </c>
      <c r="V20" s="14">
        <v>4.3835616438356165E-2</v>
      </c>
      <c r="W20">
        <v>3.7900000000000003E-2</v>
      </c>
      <c r="X20">
        <v>0.2</v>
      </c>
      <c r="Y20" s="14">
        <v>0.17239988795040936</v>
      </c>
      <c r="Z20">
        <v>5.7900000000000007E-2</v>
      </c>
      <c r="AA20" s="14">
        <v>4.3835616438356165E-2</v>
      </c>
      <c r="AB20" s="14">
        <v>4.1873913807217097E-2</v>
      </c>
      <c r="AC20" s="14">
        <v>4.177731533469391</v>
      </c>
      <c r="AD20" s="14">
        <v>0.9999852784556178</v>
      </c>
      <c r="AE20" s="14">
        <v>1.4721544382157422E-5</v>
      </c>
      <c r="AF20" s="14">
        <v>1.7899999999999999E-2</v>
      </c>
      <c r="AG20" s="14">
        <v>4.1358576196621737</v>
      </c>
      <c r="AH20" s="14">
        <v>0.99998231842929952</v>
      </c>
      <c r="AI20" s="14">
        <v>1.7681570700532451E-5</v>
      </c>
      <c r="AJ20" s="14" t="s">
        <v>40</v>
      </c>
      <c r="AK20" s="14">
        <v>6.3103915518820941E-4</v>
      </c>
      <c r="AL20" s="14">
        <v>6.3103915518820941E-4</v>
      </c>
      <c r="AM20" s="14">
        <v>4.177731533469391</v>
      </c>
      <c r="AN20" s="14">
        <v>4.1358576196621737</v>
      </c>
    </row>
    <row r="21" spans="1:40" x14ac:dyDescent="0.25">
      <c r="A21" s="1">
        <v>45322.666666666664</v>
      </c>
      <c r="B21">
        <v>20240216</v>
      </c>
      <c r="C21">
        <v>4663.5</v>
      </c>
      <c r="D21" s="14">
        <v>4648.2287960000003</v>
      </c>
      <c r="E21" t="s">
        <v>40</v>
      </c>
      <c r="F21">
        <v>3950</v>
      </c>
      <c r="G21">
        <v>10</v>
      </c>
      <c r="H21" t="s">
        <v>41</v>
      </c>
      <c r="I21" s="3">
        <v>0.7</v>
      </c>
      <c r="J21" s="14">
        <v>0.9</v>
      </c>
      <c r="K21" s="14">
        <v>34.06592594</v>
      </c>
      <c r="L21" s="14">
        <v>0.64329366399999999</v>
      </c>
      <c r="M21" s="14">
        <v>0.78569393399999998</v>
      </c>
      <c r="N21" s="14">
        <v>-7.4002260000000002E-3</v>
      </c>
      <c r="O21" s="14">
        <v>0.19002155000000001</v>
      </c>
      <c r="P21" s="21">
        <v>2.29080407941116E-5</v>
      </c>
      <c r="Q21" s="14">
        <v>-0.114715412</v>
      </c>
      <c r="R21">
        <v>0</v>
      </c>
      <c r="S21" t="b">
        <v>1</v>
      </c>
      <c r="T21" s="1">
        <v>45322.666666666664</v>
      </c>
      <c r="U21" s="1">
        <v>45338.666666666664</v>
      </c>
      <c r="V21" s="14">
        <v>4.3835616438356165E-2</v>
      </c>
      <c r="W21">
        <v>3.7900000000000003E-2</v>
      </c>
      <c r="X21">
        <v>0.2</v>
      </c>
      <c r="Y21" s="14">
        <v>0.16605066027175058</v>
      </c>
      <c r="Z21">
        <v>5.7900000000000007E-2</v>
      </c>
      <c r="AA21" s="14">
        <v>4.3835616438356165E-2</v>
      </c>
      <c r="AB21" s="14">
        <v>4.1873913807217097E-2</v>
      </c>
      <c r="AC21" s="14">
        <v>4.0261042528695894</v>
      </c>
      <c r="AD21" s="14">
        <v>0.99997164572287423</v>
      </c>
      <c r="AE21" s="14">
        <v>2.8354277125777577E-5</v>
      </c>
      <c r="AF21" s="14">
        <v>1.7899999999999999E-2</v>
      </c>
      <c r="AG21" s="14">
        <v>3.9842303390623734</v>
      </c>
      <c r="AH21" s="14">
        <v>0.99996615040829806</v>
      </c>
      <c r="AI21" s="14">
        <v>3.3849591701989645E-5</v>
      </c>
      <c r="AJ21" s="14" t="s">
        <v>40</v>
      </c>
      <c r="AK21" s="14">
        <v>1.2537653372510227E-3</v>
      </c>
      <c r="AL21" s="14">
        <v>1.2537653372510227E-3</v>
      </c>
      <c r="AM21" s="14">
        <v>4.0261042528695894</v>
      </c>
      <c r="AN21" s="14">
        <v>3.9842303390623734</v>
      </c>
    </row>
    <row r="22" spans="1:40" x14ac:dyDescent="0.25">
      <c r="A22" s="1">
        <v>45322.666666666664</v>
      </c>
      <c r="B22">
        <v>20240216</v>
      </c>
      <c r="C22">
        <v>4663.5</v>
      </c>
      <c r="D22" s="14">
        <v>4648.2287960000003</v>
      </c>
      <c r="E22" t="s">
        <v>40</v>
      </c>
      <c r="F22">
        <v>3975</v>
      </c>
      <c r="G22">
        <v>10</v>
      </c>
      <c r="H22" t="s">
        <v>41</v>
      </c>
      <c r="I22" s="3">
        <v>0.7</v>
      </c>
      <c r="J22" s="14">
        <v>0.9</v>
      </c>
      <c r="K22" s="14">
        <v>33.197747620000001</v>
      </c>
      <c r="L22" s="14">
        <v>0.64329366399999999</v>
      </c>
      <c r="M22" s="14">
        <v>0.84704551800000005</v>
      </c>
      <c r="N22" s="14">
        <v>-8.1132400000000007E-3</v>
      </c>
      <c r="O22" s="14">
        <v>0.20604143799999999</v>
      </c>
      <c r="P22" s="21">
        <v>2.5754852753988999E-5</v>
      </c>
      <c r="Q22" s="14">
        <v>-0.122481285</v>
      </c>
      <c r="R22">
        <v>0</v>
      </c>
      <c r="S22" t="b">
        <v>1</v>
      </c>
      <c r="T22" s="1">
        <v>45322.666666666664</v>
      </c>
      <c r="U22" s="1">
        <v>45338.666666666664</v>
      </c>
      <c r="V22" s="14">
        <v>4.3835616438356165E-2</v>
      </c>
      <c r="W22">
        <v>3.7900000000000003E-2</v>
      </c>
      <c r="X22">
        <v>0.2</v>
      </c>
      <c r="Y22" s="14">
        <v>0.15974149107848595</v>
      </c>
      <c r="Z22">
        <v>5.7900000000000007E-2</v>
      </c>
      <c r="AA22" s="14">
        <v>4.3835616438356165E-2</v>
      </c>
      <c r="AB22" s="14">
        <v>4.1873913807217097E-2</v>
      </c>
      <c r="AC22" s="14">
        <v>3.8754336176308741</v>
      </c>
      <c r="AD22" s="14">
        <v>0.9999467825031525</v>
      </c>
      <c r="AE22" s="14">
        <v>5.3217496847460176E-5</v>
      </c>
      <c r="AF22" s="14">
        <v>1.7899999999999999E-2</v>
      </c>
      <c r="AG22" s="14">
        <v>3.8335597038236573</v>
      </c>
      <c r="AH22" s="14">
        <v>0.99993684893603207</v>
      </c>
      <c r="AI22" s="14">
        <v>6.3151063967927234E-5</v>
      </c>
      <c r="AJ22" s="14" t="s">
        <v>40</v>
      </c>
      <c r="AK22" s="14">
        <v>2.4289828004622482E-3</v>
      </c>
      <c r="AL22" s="14">
        <v>2.4289828004622482E-3</v>
      </c>
      <c r="AM22" s="14">
        <v>3.8754336176308741</v>
      </c>
      <c r="AN22" s="14">
        <v>3.8335597038236573</v>
      </c>
    </row>
    <row r="23" spans="1:40" x14ac:dyDescent="0.25">
      <c r="A23" s="1">
        <v>45322.666666666664</v>
      </c>
      <c r="B23">
        <v>20240216</v>
      </c>
      <c r="C23">
        <v>4663.5</v>
      </c>
      <c r="D23" s="14">
        <v>4648.2287960000003</v>
      </c>
      <c r="E23" t="s">
        <v>40</v>
      </c>
      <c r="F23">
        <v>4000</v>
      </c>
      <c r="G23">
        <v>10</v>
      </c>
      <c r="H23" t="s">
        <v>41</v>
      </c>
      <c r="I23" s="3">
        <v>0.8</v>
      </c>
      <c r="J23" s="14">
        <v>1</v>
      </c>
      <c r="K23" s="14">
        <v>32.328256230000001</v>
      </c>
      <c r="L23" s="14">
        <v>0.64329366399999999</v>
      </c>
      <c r="M23" s="14">
        <v>0.91450210499999995</v>
      </c>
      <c r="N23" s="14">
        <v>-8.9110149999999996E-3</v>
      </c>
      <c r="O23" s="14">
        <v>0.22371374999999999</v>
      </c>
      <c r="P23" s="21">
        <v>2.9049676558289799E-5</v>
      </c>
      <c r="Q23" s="14">
        <v>-0.131008443</v>
      </c>
      <c r="R23">
        <v>0</v>
      </c>
      <c r="S23" t="b">
        <v>1</v>
      </c>
      <c r="T23" s="1">
        <v>45322.666666666664</v>
      </c>
      <c r="U23" s="1">
        <v>45338.666666666664</v>
      </c>
      <c r="V23" s="14">
        <v>4.3835616438356165E-2</v>
      </c>
      <c r="W23">
        <v>3.7900000000000003E-2</v>
      </c>
      <c r="X23">
        <v>0.2</v>
      </c>
      <c r="Y23" s="14">
        <v>0.15347187806489052</v>
      </c>
      <c r="Z23">
        <v>5.7900000000000007E-2</v>
      </c>
      <c r="AA23" s="14">
        <v>4.3835616438356165E-2</v>
      </c>
      <c r="AB23" s="14">
        <v>4.1873913807217097E-2</v>
      </c>
      <c r="AC23" s="14">
        <v>3.7257076320814924</v>
      </c>
      <c r="AD23" s="14">
        <v>0.99990261597357777</v>
      </c>
      <c r="AE23" s="14">
        <v>9.7384026422226225E-5</v>
      </c>
      <c r="AF23" s="14">
        <v>1.7899999999999999E-2</v>
      </c>
      <c r="AG23" s="14">
        <v>3.683833718274276</v>
      </c>
      <c r="AH23" s="14">
        <v>0.9998851239257901</v>
      </c>
      <c r="AI23" s="14">
        <v>1.1487607420990939E-4</v>
      </c>
      <c r="AJ23" s="14" t="s">
        <v>40</v>
      </c>
      <c r="AK23" s="14">
        <v>4.5911168282021242E-3</v>
      </c>
      <c r="AL23" s="14">
        <v>4.5911168282021242E-3</v>
      </c>
      <c r="AM23" s="14">
        <v>3.7257076320814924</v>
      </c>
      <c r="AN23" s="14">
        <v>3.683833718274276</v>
      </c>
    </row>
    <row r="24" spans="1:40" x14ac:dyDescent="0.25">
      <c r="A24" s="1">
        <v>45322.666666666664</v>
      </c>
      <c r="B24">
        <v>20240216</v>
      </c>
      <c r="C24">
        <v>4663.5</v>
      </c>
      <c r="D24" s="14">
        <v>4648.2287960000003</v>
      </c>
      <c r="E24" t="s">
        <v>40</v>
      </c>
      <c r="F24">
        <v>4025</v>
      </c>
      <c r="G24">
        <v>10</v>
      </c>
      <c r="H24" t="s">
        <v>41</v>
      </c>
      <c r="I24" s="3">
        <v>0.9</v>
      </c>
      <c r="J24" s="14">
        <v>1.1000000000000001</v>
      </c>
      <c r="K24" s="14">
        <v>31.457510110000001</v>
      </c>
      <c r="L24" s="14">
        <v>0.64329366399999999</v>
      </c>
      <c r="M24" s="14">
        <v>0.98892581499999999</v>
      </c>
      <c r="N24" s="14">
        <v>-9.8066549999999992E-3</v>
      </c>
      <c r="O24" s="14">
        <v>0.24326199000000001</v>
      </c>
      <c r="P24" s="21">
        <v>3.2879987562163002E-5</v>
      </c>
      <c r="Q24" s="14">
        <v>-0.140402151</v>
      </c>
      <c r="R24">
        <v>0</v>
      </c>
      <c r="S24" t="b">
        <v>1</v>
      </c>
      <c r="T24" s="1">
        <v>45322.666666666664</v>
      </c>
      <c r="U24" s="1">
        <v>45338.666666666664</v>
      </c>
      <c r="V24" s="14">
        <v>4.3835616438356165E-2</v>
      </c>
      <c r="W24">
        <v>3.7900000000000003E-2</v>
      </c>
      <c r="X24">
        <v>0.2</v>
      </c>
      <c r="Y24" s="14">
        <v>0.14724132831425449</v>
      </c>
      <c r="Z24">
        <v>5.7900000000000007E-2</v>
      </c>
      <c r="AA24" s="14">
        <v>4.3835616438356165E-2</v>
      </c>
      <c r="AB24" s="14">
        <v>4.1873913807217097E-2</v>
      </c>
      <c r="AC24" s="14">
        <v>3.5769145247707979</v>
      </c>
      <c r="AD24" s="14">
        <v>0.99982616310203476</v>
      </c>
      <c r="AE24" s="14">
        <v>1.7383689796527161E-4</v>
      </c>
      <c r="AF24" s="14">
        <v>1.7899999999999999E-2</v>
      </c>
      <c r="AG24" s="14">
        <v>3.5350406109635815</v>
      </c>
      <c r="AH24" s="14">
        <v>0.99979614375373382</v>
      </c>
      <c r="AI24" s="14">
        <v>2.0385624626614607E-4</v>
      </c>
      <c r="AJ24" s="14" t="s">
        <v>40</v>
      </c>
      <c r="AK24" s="14">
        <v>8.4709598030057176E-3</v>
      </c>
      <c r="AL24" s="14">
        <v>8.4709598030057176E-3</v>
      </c>
      <c r="AM24" s="14">
        <v>3.5769145247707979</v>
      </c>
      <c r="AN24" s="14">
        <v>3.5350406109635815</v>
      </c>
    </row>
    <row r="25" spans="1:40" x14ac:dyDescent="0.25">
      <c r="A25" s="1">
        <v>45322.666666666664</v>
      </c>
      <c r="B25">
        <v>20240216</v>
      </c>
      <c r="C25">
        <v>4663.5</v>
      </c>
      <c r="D25" s="14">
        <v>4648.2287960000003</v>
      </c>
      <c r="E25" t="s">
        <v>40</v>
      </c>
      <c r="F25">
        <v>4050</v>
      </c>
      <c r="G25">
        <v>10</v>
      </c>
      <c r="H25" t="s">
        <v>41</v>
      </c>
      <c r="I25" s="3">
        <v>0.9</v>
      </c>
      <c r="J25" s="14">
        <v>1.2</v>
      </c>
      <c r="K25" s="14">
        <v>30.585565989999999</v>
      </c>
      <c r="L25" s="14">
        <v>0.64329366399999999</v>
      </c>
      <c r="M25" s="14">
        <v>1.071338685</v>
      </c>
      <c r="N25" s="14">
        <v>-1.0815808E-2</v>
      </c>
      <c r="O25" s="14">
        <v>0.264947496</v>
      </c>
      <c r="P25" s="21">
        <v>3.73536830636017E-5</v>
      </c>
      <c r="Q25" s="14">
        <v>-0.15078560999999999</v>
      </c>
      <c r="R25">
        <v>0</v>
      </c>
      <c r="S25" t="b">
        <v>1</v>
      </c>
      <c r="T25" s="1">
        <v>45322.666666666664</v>
      </c>
      <c r="U25" s="1">
        <v>45338.666666666664</v>
      </c>
      <c r="V25" s="14">
        <v>4.3835616438356165E-2</v>
      </c>
      <c r="W25">
        <v>3.7900000000000003E-2</v>
      </c>
      <c r="X25">
        <v>0.2</v>
      </c>
      <c r="Y25" s="14">
        <v>0.14104935806633342</v>
      </c>
      <c r="Z25">
        <v>5.7900000000000007E-2</v>
      </c>
      <c r="AA25" s="14">
        <v>4.3835616438356165E-2</v>
      </c>
      <c r="AB25" s="14">
        <v>4.1873913807217097E-2</v>
      </c>
      <c r="AC25" s="14">
        <v>3.4290427429156742</v>
      </c>
      <c r="AD25" s="14">
        <v>0.99969714293597634</v>
      </c>
      <c r="AE25" s="14">
        <v>3.0285706402371609E-4</v>
      </c>
      <c r="AF25" s="14">
        <v>1.7899999999999999E-2</v>
      </c>
      <c r="AG25" s="14">
        <v>3.3871688291084574</v>
      </c>
      <c r="AH25" s="14">
        <v>0.99964691041628662</v>
      </c>
      <c r="AI25" s="14">
        <v>3.5308958371341935E-4</v>
      </c>
      <c r="AJ25" s="14" t="s">
        <v>40</v>
      </c>
      <c r="AK25" s="14">
        <v>1.5265088204122534E-2</v>
      </c>
      <c r="AL25" s="14">
        <v>1.5265088204122534E-2</v>
      </c>
      <c r="AM25" s="14">
        <v>3.4290427429156742</v>
      </c>
      <c r="AN25" s="14">
        <v>3.3871688291084574</v>
      </c>
    </row>
    <row r="26" spans="1:40" x14ac:dyDescent="0.25">
      <c r="A26" s="1">
        <v>45322.666666666664</v>
      </c>
      <c r="B26">
        <v>20240216</v>
      </c>
      <c r="C26">
        <v>4663.5</v>
      </c>
      <c r="D26" s="14">
        <v>4648.2287960000003</v>
      </c>
      <c r="E26" t="s">
        <v>40</v>
      </c>
      <c r="F26">
        <v>4075</v>
      </c>
      <c r="G26">
        <v>10</v>
      </c>
      <c r="H26" t="s">
        <v>41</v>
      </c>
      <c r="I26" s="3">
        <v>1</v>
      </c>
      <c r="J26" s="14">
        <v>1.3</v>
      </c>
      <c r="K26" s="14">
        <v>29.71247902</v>
      </c>
      <c r="L26" s="14">
        <v>0.64329366399999999</v>
      </c>
      <c r="M26" s="14">
        <v>1.162958859</v>
      </c>
      <c r="N26" s="14">
        <v>-1.1957258E-2</v>
      </c>
      <c r="O26" s="14">
        <v>0.28907698799999998</v>
      </c>
      <c r="P26" s="21">
        <v>4.2604633241239997E-5</v>
      </c>
      <c r="Q26" s="14">
        <v>-0.16230355499999999</v>
      </c>
      <c r="R26">
        <v>0</v>
      </c>
      <c r="S26" t="b">
        <v>1</v>
      </c>
      <c r="T26" s="1">
        <v>45322.666666666664</v>
      </c>
      <c r="U26" s="1">
        <v>45338.666666666664</v>
      </c>
      <c r="V26" s="14">
        <v>4.3835616438356165E-2</v>
      </c>
      <c r="W26">
        <v>3.7900000000000003E-2</v>
      </c>
      <c r="X26">
        <v>0.2</v>
      </c>
      <c r="Y26" s="14">
        <v>0.13489549249195504</v>
      </c>
      <c r="Z26">
        <v>5.7900000000000007E-2</v>
      </c>
      <c r="AA26" s="14">
        <v>4.3835616438356165E-2</v>
      </c>
      <c r="AB26" s="14">
        <v>4.1873913807217097E-2</v>
      </c>
      <c r="AC26" s="14">
        <v>3.2820809470178722</v>
      </c>
      <c r="AD26" s="14">
        <v>0.99948477990113804</v>
      </c>
      <c r="AE26" s="14">
        <v>5.152200988619844E-4</v>
      </c>
      <c r="AF26" s="14">
        <v>1.7899999999999999E-2</v>
      </c>
      <c r="AG26" s="14">
        <v>3.2402070332106558</v>
      </c>
      <c r="AH26" s="14">
        <v>0.99940278529208115</v>
      </c>
      <c r="AI26" s="14">
        <v>5.9721470791884214E-4</v>
      </c>
      <c r="AJ26" s="14" t="s">
        <v>40</v>
      </c>
      <c r="AK26" s="14">
        <v>2.6881167827685903E-2</v>
      </c>
      <c r="AL26" s="14">
        <v>2.6881167827685903E-2</v>
      </c>
      <c r="AM26" s="14">
        <v>3.2820809470178722</v>
      </c>
      <c r="AN26" s="14">
        <v>3.2402070332106558</v>
      </c>
    </row>
    <row r="27" spans="1:40" x14ac:dyDescent="0.25">
      <c r="A27" s="1">
        <v>45322.666666666664</v>
      </c>
      <c r="B27">
        <v>20240216</v>
      </c>
      <c r="C27">
        <v>4663.5</v>
      </c>
      <c r="D27" s="14">
        <v>4648.2287960000003</v>
      </c>
      <c r="E27" t="s">
        <v>40</v>
      </c>
      <c r="F27">
        <v>4100</v>
      </c>
      <c r="G27">
        <v>10</v>
      </c>
      <c r="H27" t="s">
        <v>41</v>
      </c>
      <c r="I27" s="3">
        <v>1.2</v>
      </c>
      <c r="J27" s="14">
        <v>1.4</v>
      </c>
      <c r="K27" s="14">
        <v>28.838302890000001</v>
      </c>
      <c r="L27" s="14">
        <v>0.64329366399999999</v>
      </c>
      <c r="M27" s="14">
        <v>1.265246474</v>
      </c>
      <c r="N27" s="14">
        <v>-1.3253681E-2</v>
      </c>
      <c r="O27" s="14">
        <v>0.31601180200000001</v>
      </c>
      <c r="P27" s="21">
        <v>4.8801689833997802E-5</v>
      </c>
      <c r="Q27" s="14">
        <v>-0.17513287799999999</v>
      </c>
      <c r="R27">
        <v>0</v>
      </c>
      <c r="S27" t="b">
        <v>1</v>
      </c>
      <c r="T27" s="1">
        <v>45322.666666666664</v>
      </c>
      <c r="U27" s="1">
        <v>45338.666666666664</v>
      </c>
      <c r="V27" s="14">
        <v>4.3835616438356165E-2</v>
      </c>
      <c r="W27">
        <v>3.7900000000000003E-2</v>
      </c>
      <c r="X27">
        <v>0.2</v>
      </c>
      <c r="Y27" s="14">
        <v>0.12877926547451904</v>
      </c>
      <c r="Z27">
        <v>5.7900000000000007E-2</v>
      </c>
      <c r="AA27" s="14">
        <v>4.3835616438356165E-2</v>
      </c>
      <c r="AB27" s="14">
        <v>4.1873913807217097E-2</v>
      </c>
      <c r="AC27" s="14">
        <v>3.1360180056459614</v>
      </c>
      <c r="AD27" s="14">
        <v>0.99914370655582374</v>
      </c>
      <c r="AE27" s="14">
        <v>8.5629344417623762E-4</v>
      </c>
      <c r="AF27" s="14">
        <v>1.7899999999999999E-2</v>
      </c>
      <c r="AG27" s="14">
        <v>3.0941440918387451</v>
      </c>
      <c r="AH27" s="14">
        <v>0.99901309201154653</v>
      </c>
      <c r="AI27" s="14">
        <v>9.869079884534612E-4</v>
      </c>
      <c r="AJ27" s="14" t="s">
        <v>40</v>
      </c>
      <c r="AK27" s="14">
        <v>4.6281418203318658E-2</v>
      </c>
      <c r="AL27" s="14">
        <v>4.6281418203318658E-2</v>
      </c>
      <c r="AM27" s="14">
        <v>3.1360180056459614</v>
      </c>
      <c r="AN27" s="14">
        <v>3.0941440918387451</v>
      </c>
    </row>
    <row r="28" spans="1:40" x14ac:dyDescent="0.25">
      <c r="A28" s="1">
        <v>45322.666666666664</v>
      </c>
      <c r="B28">
        <v>20240216</v>
      </c>
      <c r="C28">
        <v>4663.5</v>
      </c>
      <c r="D28" s="14">
        <v>4648.2287960000003</v>
      </c>
      <c r="E28" t="s">
        <v>40</v>
      </c>
      <c r="F28">
        <v>4125</v>
      </c>
      <c r="G28">
        <v>10</v>
      </c>
      <c r="H28" t="s">
        <v>41</v>
      </c>
      <c r="I28" s="3">
        <v>1.3</v>
      </c>
      <c r="J28" s="14">
        <v>1.5</v>
      </c>
      <c r="K28" s="14">
        <v>27.963124740000001</v>
      </c>
      <c r="L28" s="14">
        <v>0.64329366399999999</v>
      </c>
      <c r="M28" s="14">
        <v>1.3799743289999999</v>
      </c>
      <c r="N28" s="14">
        <v>-1.4732706E-2</v>
      </c>
      <c r="O28" s="14">
        <v>0.34618123899999997</v>
      </c>
      <c r="P28" s="21">
        <v>5.61573173309359E-5</v>
      </c>
      <c r="Q28" s="14">
        <v>-0.18948340399999999</v>
      </c>
      <c r="R28">
        <v>0</v>
      </c>
      <c r="S28" t="b">
        <v>1</v>
      </c>
      <c r="T28" s="1">
        <v>45322.666666666664</v>
      </c>
      <c r="U28" s="1">
        <v>45338.666666666664</v>
      </c>
      <c r="V28" s="14">
        <v>4.3835616438356165E-2</v>
      </c>
      <c r="W28">
        <v>3.7900000000000003E-2</v>
      </c>
      <c r="X28">
        <v>0.2</v>
      </c>
      <c r="Y28" s="14">
        <v>0.12270021939813681</v>
      </c>
      <c r="Z28">
        <v>5.7900000000000007E-2</v>
      </c>
      <c r="AA28" s="14">
        <v>4.3835616438356165E-2</v>
      </c>
      <c r="AB28" s="14">
        <v>4.1873913807217097E-2</v>
      </c>
      <c r="AC28" s="14">
        <v>2.9908429903758469</v>
      </c>
      <c r="AD28" s="14">
        <v>0.99860895750798162</v>
      </c>
      <c r="AE28" s="14">
        <v>1.3910424920184001E-3</v>
      </c>
      <c r="AF28" s="14">
        <v>1.7899999999999999E-2</v>
      </c>
      <c r="AG28" s="14">
        <v>2.9489690765686296</v>
      </c>
      <c r="AH28" s="14">
        <v>0.99840582061458905</v>
      </c>
      <c r="AI28" s="14">
        <v>1.5941793854109634E-3</v>
      </c>
      <c r="AJ28" s="14" t="s">
        <v>40</v>
      </c>
      <c r="AK28" s="14">
        <v>7.794722208039051E-2</v>
      </c>
      <c r="AL28" s="14">
        <v>7.794722208039051E-2</v>
      </c>
      <c r="AM28" s="14">
        <v>2.9908429903758469</v>
      </c>
      <c r="AN28" s="14">
        <v>2.9489690765686296</v>
      </c>
    </row>
    <row r="29" spans="1:40" x14ac:dyDescent="0.25">
      <c r="A29" s="1">
        <v>45322.666666666664</v>
      </c>
      <c r="B29">
        <v>20240216</v>
      </c>
      <c r="C29">
        <v>4663.5</v>
      </c>
      <c r="D29" s="14">
        <v>4648.2287960000003</v>
      </c>
      <c r="E29" t="s">
        <v>40</v>
      </c>
      <c r="F29">
        <v>4150</v>
      </c>
      <c r="G29">
        <v>10</v>
      </c>
      <c r="H29" t="s">
        <v>41</v>
      </c>
      <c r="I29" s="3">
        <v>1.4</v>
      </c>
      <c r="J29" s="14">
        <v>1.6</v>
      </c>
      <c r="K29" s="14">
        <v>27.08702946</v>
      </c>
      <c r="L29" s="14">
        <v>0.64329366399999999</v>
      </c>
      <c r="M29" s="14">
        <v>1.5092955589999999</v>
      </c>
      <c r="N29" s="14">
        <v>-1.6428101000000001E-2</v>
      </c>
      <c r="O29" s="14">
        <v>0.38009517500000001</v>
      </c>
      <c r="P29" s="21">
        <v>6.4936694258341195E-5</v>
      </c>
      <c r="Q29" s="14">
        <v>-0.20559207099999999</v>
      </c>
      <c r="R29">
        <v>0</v>
      </c>
      <c r="S29" t="b">
        <v>1</v>
      </c>
      <c r="T29" s="1">
        <v>45322.666666666664</v>
      </c>
      <c r="U29" s="1">
        <v>45338.666666666664</v>
      </c>
      <c r="V29" s="14">
        <v>4.3835616438356165E-2</v>
      </c>
      <c r="W29">
        <v>3.7900000000000003E-2</v>
      </c>
      <c r="X29">
        <v>0.2</v>
      </c>
      <c r="Y29" s="14">
        <v>0.11665790494217422</v>
      </c>
      <c r="Z29">
        <v>5.7900000000000007E-2</v>
      </c>
      <c r="AA29" s="14">
        <v>4.3835616438356165E-2</v>
      </c>
      <c r="AB29" s="14">
        <v>4.1873913807217097E-2</v>
      </c>
      <c r="AC29" s="14">
        <v>2.8465451708841996</v>
      </c>
      <c r="AD29" s="14">
        <v>0.99779017707760509</v>
      </c>
      <c r="AE29" s="14">
        <v>2.2098229223949657E-3</v>
      </c>
      <c r="AF29" s="14">
        <v>1.7899999999999999E-2</v>
      </c>
      <c r="AG29" s="14">
        <v>2.8046712570769827</v>
      </c>
      <c r="AH29" s="14">
        <v>0.99748160388810958</v>
      </c>
      <c r="AI29" s="14">
        <v>2.5183961118903724E-3</v>
      </c>
      <c r="AJ29" s="14" t="s">
        <v>40</v>
      </c>
      <c r="AK29" s="14">
        <v>0.12848553368501037</v>
      </c>
      <c r="AL29" s="14">
        <v>0.12848553368501037</v>
      </c>
      <c r="AM29" s="14">
        <v>2.8465451708841996</v>
      </c>
      <c r="AN29" s="14">
        <v>2.8046712570769827</v>
      </c>
    </row>
    <row r="30" spans="1:40" x14ac:dyDescent="0.25">
      <c r="A30" s="1">
        <v>45322.666666666664</v>
      </c>
      <c r="B30">
        <v>20240216</v>
      </c>
      <c r="C30">
        <v>4663.5</v>
      </c>
      <c r="D30" s="14">
        <v>4648.2287960000003</v>
      </c>
      <c r="E30" t="s">
        <v>40</v>
      </c>
      <c r="F30">
        <v>4175</v>
      </c>
      <c r="G30">
        <v>10</v>
      </c>
      <c r="H30" t="s">
        <v>41</v>
      </c>
      <c r="I30" s="3">
        <v>1.6</v>
      </c>
      <c r="J30" s="14">
        <v>1.8</v>
      </c>
      <c r="K30" s="14">
        <v>26.210065239999999</v>
      </c>
      <c r="L30" s="14">
        <v>0.64329366399999999</v>
      </c>
      <c r="M30" s="14">
        <v>1.6558282200000001</v>
      </c>
      <c r="N30" s="14">
        <v>-1.8381287E-2</v>
      </c>
      <c r="O30" s="14">
        <v>0.41835906299999998</v>
      </c>
      <c r="P30" s="21">
        <v>7.5477234701418696E-5</v>
      </c>
      <c r="Q30" s="14">
        <v>-0.22374101800000001</v>
      </c>
      <c r="R30">
        <v>0</v>
      </c>
      <c r="S30" t="b">
        <v>1</v>
      </c>
      <c r="T30" s="1">
        <v>45322.666666666664</v>
      </c>
      <c r="U30" s="1">
        <v>45338.666666666664</v>
      </c>
      <c r="V30" s="14">
        <v>4.3835616438356165E-2</v>
      </c>
      <c r="W30">
        <v>3.7900000000000003E-2</v>
      </c>
      <c r="X30">
        <v>0.2</v>
      </c>
      <c r="Y30" s="14">
        <v>0.11065188088196226</v>
      </c>
      <c r="Z30">
        <v>5.7900000000000007E-2</v>
      </c>
      <c r="AA30" s="14">
        <v>4.3835616438356165E-2</v>
      </c>
      <c r="AB30" s="14">
        <v>4.1873913807217097E-2</v>
      </c>
      <c r="AC30" s="14">
        <v>2.7031140101891897</v>
      </c>
      <c r="AD30" s="14">
        <v>0.99656534100279437</v>
      </c>
      <c r="AE30" s="14">
        <v>3.434658997205642E-3</v>
      </c>
      <c r="AF30" s="14">
        <v>1.7899999999999999E-2</v>
      </c>
      <c r="AG30" s="14">
        <v>2.6612400963819725</v>
      </c>
      <c r="AH30" s="14">
        <v>0.99610732900706367</v>
      </c>
      <c r="AI30" s="14">
        <v>3.8926709929362879E-3</v>
      </c>
      <c r="AJ30" s="14" t="s">
        <v>40</v>
      </c>
      <c r="AK30" s="14">
        <v>0.20739115927097984</v>
      </c>
      <c r="AL30" s="14">
        <v>0.20739115927097984</v>
      </c>
      <c r="AM30" s="14">
        <v>2.7031140101891897</v>
      </c>
      <c r="AN30" s="14">
        <v>2.6612400963819725</v>
      </c>
    </row>
    <row r="31" spans="1:40" x14ac:dyDescent="0.25">
      <c r="A31" s="1">
        <v>45322.666666666664</v>
      </c>
      <c r="B31">
        <v>20240216</v>
      </c>
      <c r="C31">
        <v>4663.5</v>
      </c>
      <c r="D31" s="14">
        <v>4648.2287960000003</v>
      </c>
      <c r="E31" t="s">
        <v>40</v>
      </c>
      <c r="F31">
        <v>4200</v>
      </c>
      <c r="G31">
        <v>10</v>
      </c>
      <c r="H31" t="s">
        <v>41</v>
      </c>
      <c r="I31" s="3">
        <v>1.7</v>
      </c>
      <c r="J31" s="14">
        <v>1.9</v>
      </c>
      <c r="K31" s="14">
        <v>25.332278939999998</v>
      </c>
      <c r="L31" s="14">
        <v>0.64329366399999999</v>
      </c>
      <c r="M31" s="14">
        <v>1.82279357</v>
      </c>
      <c r="N31" s="14">
        <v>-2.0643528000000001E-2</v>
      </c>
      <c r="O31" s="14">
        <v>0.46169681299999998</v>
      </c>
      <c r="P31" s="21">
        <v>8.8938957927220302E-5</v>
      </c>
      <c r="Q31" s="14">
        <v>-0.246282745</v>
      </c>
      <c r="R31">
        <v>0</v>
      </c>
      <c r="S31" t="b">
        <v>1</v>
      </c>
      <c r="T31" s="1">
        <v>45322.666666666664</v>
      </c>
      <c r="U31" s="1">
        <v>45338.666666666664</v>
      </c>
      <c r="V31" s="14">
        <v>4.3835616438356165E-2</v>
      </c>
      <c r="W31">
        <v>3.7900000000000003E-2</v>
      </c>
      <c r="X31">
        <v>0.2</v>
      </c>
      <c r="Y31" s="14">
        <v>0.10468171389545848</v>
      </c>
      <c r="Z31">
        <v>5.7900000000000007E-2</v>
      </c>
      <c r="AA31" s="14">
        <v>4.3835616438356165E-2</v>
      </c>
      <c r="AB31" s="14">
        <v>4.1873913807217097E-2</v>
      </c>
      <c r="AC31" s="14">
        <v>2.5605391600333198</v>
      </c>
      <c r="AD31" s="14">
        <v>0.99477450577837079</v>
      </c>
      <c r="AE31" s="14">
        <v>5.2254942216292243E-3</v>
      </c>
      <c r="AF31" s="14">
        <v>1.7899999999999999E-2</v>
      </c>
      <c r="AG31" s="14">
        <v>2.5186652462261025</v>
      </c>
      <c r="AH31" s="14">
        <v>0.99410997034866655</v>
      </c>
      <c r="AI31" s="14">
        <v>5.8900296513334071E-3</v>
      </c>
      <c r="AJ31" s="14" t="s">
        <v>40</v>
      </c>
      <c r="AK31" s="14">
        <v>0.32796718002771286</v>
      </c>
      <c r="AL31" s="14">
        <v>0.32796718002771286</v>
      </c>
      <c r="AM31" s="14">
        <v>2.5605391600333198</v>
      </c>
      <c r="AN31" s="14">
        <v>2.5186652462261025</v>
      </c>
    </row>
    <row r="32" spans="1:40" x14ac:dyDescent="0.25">
      <c r="A32" s="1">
        <v>45322.666666666664</v>
      </c>
      <c r="B32">
        <v>20240216</v>
      </c>
      <c r="C32">
        <v>4663.5</v>
      </c>
      <c r="D32" s="14">
        <v>4648.2287960000003</v>
      </c>
      <c r="E32" t="s">
        <v>40</v>
      </c>
      <c r="F32">
        <v>4225</v>
      </c>
      <c r="G32">
        <v>10</v>
      </c>
      <c r="H32" t="s">
        <v>41</v>
      </c>
      <c r="I32" s="3">
        <v>1.9</v>
      </c>
      <c r="J32" s="14">
        <v>2.1</v>
      </c>
      <c r="K32" s="14">
        <v>24.462944090000001</v>
      </c>
      <c r="L32" s="14">
        <v>0.64329366399999999</v>
      </c>
      <c r="M32" s="14">
        <v>2.018903527</v>
      </c>
      <c r="N32" s="14">
        <v>-2.3318987999999999E-2</v>
      </c>
      <c r="O32" s="14">
        <v>0.51172052899999998</v>
      </c>
      <c r="P32" s="14">
        <v>1.06963E-4</v>
      </c>
      <c r="Q32" s="14">
        <v>-0.27621297</v>
      </c>
      <c r="R32">
        <v>0</v>
      </c>
      <c r="S32" t="b">
        <v>1</v>
      </c>
      <c r="T32" s="1">
        <v>45322.666666666664</v>
      </c>
      <c r="U32" s="1">
        <v>45338.666666666664</v>
      </c>
      <c r="V32" s="14">
        <v>4.3835616438356165E-2</v>
      </c>
      <c r="W32">
        <v>3.7900000000000003E-2</v>
      </c>
      <c r="X32">
        <v>0.2</v>
      </c>
      <c r="Y32" s="14">
        <v>9.8746978375643946E-2</v>
      </c>
      <c r="Z32">
        <v>5.7900000000000007E-2</v>
      </c>
      <c r="AA32" s="14">
        <v>4.3835616438356165E-2</v>
      </c>
      <c r="AB32" s="14">
        <v>4.1873913807217097E-2</v>
      </c>
      <c r="AC32" s="14">
        <v>2.4188104564032411</v>
      </c>
      <c r="AD32" s="14">
        <v>0.9922143241707343</v>
      </c>
      <c r="AE32" s="14">
        <v>7.7856758292656888E-3</v>
      </c>
      <c r="AF32" s="14">
        <v>1.7899999999999999E-2</v>
      </c>
      <c r="AG32" s="14">
        <v>2.3769365425960238</v>
      </c>
      <c r="AH32" s="14">
        <v>0.99127145447143383</v>
      </c>
      <c r="AI32" s="14">
        <v>8.7285455285661707E-3</v>
      </c>
      <c r="AJ32" s="14" t="s">
        <v>40</v>
      </c>
      <c r="AK32" s="14">
        <v>0.50838832276916435</v>
      </c>
      <c r="AL32" s="14">
        <v>0.50838832276916435</v>
      </c>
      <c r="AM32" s="14">
        <v>2.4188104564032411</v>
      </c>
      <c r="AN32" s="14">
        <v>2.3769365425960238</v>
      </c>
    </row>
    <row r="33" spans="1:40" x14ac:dyDescent="0.25">
      <c r="A33" s="1">
        <v>45322.666666666664</v>
      </c>
      <c r="B33">
        <v>20240216</v>
      </c>
      <c r="C33">
        <v>4663.5</v>
      </c>
      <c r="D33" s="14">
        <v>4648.2287960000003</v>
      </c>
      <c r="E33" t="s">
        <v>40</v>
      </c>
      <c r="F33">
        <v>4250</v>
      </c>
      <c r="G33">
        <v>10</v>
      </c>
      <c r="H33" t="s">
        <v>41</v>
      </c>
      <c r="I33" s="3">
        <v>2.2000000000000002</v>
      </c>
      <c r="J33" s="14">
        <v>2.4</v>
      </c>
      <c r="K33" s="14">
        <v>23.611115550000001</v>
      </c>
      <c r="L33" s="14">
        <v>0.64329366399999999</v>
      </c>
      <c r="M33" s="14">
        <v>2.2558654090000001</v>
      </c>
      <c r="N33" s="14">
        <v>-2.6546740999999999E-2</v>
      </c>
      <c r="O33" s="14">
        <v>0.57047107900000005</v>
      </c>
      <c r="P33" s="14">
        <v>1.30195E-4</v>
      </c>
      <c r="Q33" s="14">
        <v>-0.31320021999999997</v>
      </c>
      <c r="R33">
        <v>0</v>
      </c>
      <c r="S33" t="b">
        <v>1</v>
      </c>
      <c r="T33" s="1">
        <v>45322.666666666664</v>
      </c>
      <c r="U33" s="1">
        <v>45338.666666666664</v>
      </c>
      <c r="V33" s="14">
        <v>4.3835616438356165E-2</v>
      </c>
      <c r="W33">
        <v>3.7900000000000003E-2</v>
      </c>
      <c r="X33">
        <v>0.2</v>
      </c>
      <c r="Y33" s="14">
        <v>9.284725624845562E-2</v>
      </c>
      <c r="Z33">
        <v>5.7900000000000007E-2</v>
      </c>
      <c r="AA33" s="14">
        <v>4.3835616438356165E-2</v>
      </c>
      <c r="AB33" s="14">
        <v>4.1873913807217097E-2</v>
      </c>
      <c r="AC33" s="14">
        <v>2.2779179151817543</v>
      </c>
      <c r="AD33" s="14">
        <v>0.98863426566053425</v>
      </c>
      <c r="AE33" s="14">
        <v>1.1365734339465758E-2</v>
      </c>
      <c r="AF33" s="14">
        <v>1.7899999999999999E-2</v>
      </c>
      <c r="AG33" s="14">
        <v>2.2360440013745371</v>
      </c>
      <c r="AH33" s="14">
        <v>0.98732555548981238</v>
      </c>
      <c r="AI33" s="14">
        <v>1.2674444510187604E-2</v>
      </c>
      <c r="AJ33" s="14" t="s">
        <v>40</v>
      </c>
      <c r="AK33" s="14">
        <v>0.77286937910594133</v>
      </c>
      <c r="AL33" s="14">
        <v>0.77286937910594133</v>
      </c>
      <c r="AM33" s="14">
        <v>2.2779179151817543</v>
      </c>
      <c r="AN33" s="14">
        <v>2.2360440013745371</v>
      </c>
    </row>
    <row r="34" spans="1:40" x14ac:dyDescent="0.25">
      <c r="A34" s="1">
        <v>45322.666666666664</v>
      </c>
      <c r="B34">
        <v>20240216</v>
      </c>
      <c r="C34">
        <v>4663.5</v>
      </c>
      <c r="D34" s="14">
        <v>4648.2287960000003</v>
      </c>
      <c r="E34" t="s">
        <v>40</v>
      </c>
      <c r="F34">
        <v>4275</v>
      </c>
      <c r="G34">
        <v>10</v>
      </c>
      <c r="H34" t="s">
        <v>41</v>
      </c>
      <c r="I34" s="3">
        <v>2.4</v>
      </c>
      <c r="J34" s="14">
        <v>2.7</v>
      </c>
      <c r="K34" s="14">
        <v>22.776515570000001</v>
      </c>
      <c r="L34" s="14">
        <v>0.64329366399999999</v>
      </c>
      <c r="M34" s="14">
        <v>2.5436774870000001</v>
      </c>
      <c r="N34" s="14">
        <v>-3.0462119999999999E-2</v>
      </c>
      <c r="O34" s="14">
        <v>0.63963221800000003</v>
      </c>
      <c r="P34" s="14">
        <v>1.5933899999999999E-4</v>
      </c>
      <c r="Q34" s="14">
        <v>-0.35668940900000001</v>
      </c>
      <c r="R34">
        <v>0</v>
      </c>
      <c r="S34" t="b">
        <v>1</v>
      </c>
      <c r="T34" s="1">
        <v>45322.666666666664</v>
      </c>
      <c r="U34" s="1">
        <v>45338.666666666664</v>
      </c>
      <c r="V34" s="14">
        <v>4.3835616438356165E-2</v>
      </c>
      <c r="W34">
        <v>3.7900000000000003E-2</v>
      </c>
      <c r="X34">
        <v>0.2</v>
      </c>
      <c r="Y34" s="14">
        <v>8.6982136796057569E-2</v>
      </c>
      <c r="Z34">
        <v>5.7900000000000007E-2</v>
      </c>
      <c r="AA34" s="14">
        <v>4.3835616438356165E-2</v>
      </c>
      <c r="AB34" s="14">
        <v>4.1873913807217097E-2</v>
      </c>
      <c r="AC34" s="14">
        <v>2.1378517279273117</v>
      </c>
      <c r="AD34" s="14">
        <v>0.98373561043141244</v>
      </c>
      <c r="AE34" s="14">
        <v>1.6264389568587539E-2</v>
      </c>
      <c r="AF34" s="14">
        <v>1.7899999999999999E-2</v>
      </c>
      <c r="AG34" s="14">
        <v>2.0959778141200944</v>
      </c>
      <c r="AH34" s="14">
        <v>0.98195792046647823</v>
      </c>
      <c r="AI34" s="14">
        <v>1.8042079533521722E-2</v>
      </c>
      <c r="AJ34" s="14" t="s">
        <v>40</v>
      </c>
      <c r="AK34" s="14">
        <v>1.15287436400655</v>
      </c>
      <c r="AL34" s="14">
        <v>1.15287436400655</v>
      </c>
      <c r="AM34" s="14">
        <v>2.1378517279273117</v>
      </c>
      <c r="AN34" s="14">
        <v>2.0959778141200944</v>
      </c>
    </row>
    <row r="35" spans="1:40" x14ac:dyDescent="0.25">
      <c r="A35" s="1">
        <v>45322.666666666664</v>
      </c>
      <c r="B35">
        <v>20240216</v>
      </c>
      <c r="C35">
        <v>4663.5</v>
      </c>
      <c r="D35" s="14">
        <v>4648.2287960000003</v>
      </c>
      <c r="E35" t="s">
        <v>40</v>
      </c>
      <c r="F35">
        <v>4300</v>
      </c>
      <c r="G35">
        <v>10</v>
      </c>
      <c r="H35" t="s">
        <v>41</v>
      </c>
      <c r="I35" s="3">
        <v>2.7</v>
      </c>
      <c r="J35" s="14">
        <v>3</v>
      </c>
      <c r="K35" s="14">
        <v>21.95887213</v>
      </c>
      <c r="L35" s="14">
        <v>0.64329366399999999</v>
      </c>
      <c r="M35" s="14">
        <v>2.8952266930000001</v>
      </c>
      <c r="N35" s="14">
        <v>-3.5237708E-2</v>
      </c>
      <c r="O35" s="14">
        <v>0.72120241299999999</v>
      </c>
      <c r="P35" s="14">
        <v>1.9652100000000001E-4</v>
      </c>
      <c r="Q35" s="14">
        <v>-0.40890435600000002</v>
      </c>
      <c r="R35">
        <v>0</v>
      </c>
      <c r="S35" t="b">
        <v>1</v>
      </c>
      <c r="T35" s="1">
        <v>45322.666666666664</v>
      </c>
      <c r="U35" s="1">
        <v>45338.666666666664</v>
      </c>
      <c r="V35" s="14">
        <v>4.3835616438356165E-2</v>
      </c>
      <c r="W35">
        <v>3.7900000000000003E-2</v>
      </c>
      <c r="X35">
        <v>0.2</v>
      </c>
      <c r="Y35" s="14">
        <v>8.115121648526448E-2</v>
      </c>
      <c r="Z35">
        <v>5.7900000000000007E-2</v>
      </c>
      <c r="AA35" s="14">
        <v>4.3835616438356165E-2</v>
      </c>
      <c r="AB35" s="14">
        <v>4.1873913807217097E-2</v>
      </c>
      <c r="AC35" s="14">
        <v>1.9986022577765634</v>
      </c>
      <c r="AD35" s="14">
        <v>0.97717429704325531</v>
      </c>
      <c r="AE35" s="14">
        <v>2.2825702956744666E-2</v>
      </c>
      <c r="AF35" s="14">
        <v>1.7899999999999999E-2</v>
      </c>
      <c r="AG35" s="14">
        <v>1.9567283439693461</v>
      </c>
      <c r="AH35" s="14">
        <v>0.97481029218856396</v>
      </c>
      <c r="AI35" s="14">
        <v>2.5189707811436018E-2</v>
      </c>
      <c r="AJ35" s="14" t="s">
        <v>40</v>
      </c>
      <c r="AK35" s="14">
        <v>1.6882747393990485</v>
      </c>
      <c r="AL35" s="14">
        <v>1.6882747393990485</v>
      </c>
      <c r="AM35" s="14">
        <v>1.9986022577765634</v>
      </c>
      <c r="AN35" s="14">
        <v>1.9567283439693461</v>
      </c>
    </row>
    <row r="36" spans="1:40" x14ac:dyDescent="0.25">
      <c r="A36" s="1">
        <v>45322.666666666664</v>
      </c>
      <c r="B36">
        <v>20240216</v>
      </c>
      <c r="C36">
        <v>4663.5</v>
      </c>
      <c r="D36" s="14">
        <v>4648.2287960000003</v>
      </c>
      <c r="E36" t="s">
        <v>40</v>
      </c>
      <c r="F36">
        <v>4325</v>
      </c>
      <c r="G36">
        <v>10</v>
      </c>
      <c r="H36" t="s">
        <v>41</v>
      </c>
      <c r="I36" s="3">
        <v>3.2</v>
      </c>
      <c r="J36" s="14">
        <v>3.4</v>
      </c>
      <c r="K36" s="14">
        <v>21.161437060000001</v>
      </c>
      <c r="L36" s="14">
        <v>0.64329366399999999</v>
      </c>
      <c r="M36" s="14">
        <v>3.3300817070000002</v>
      </c>
      <c r="N36" s="14">
        <v>-4.1118795999999999E-2</v>
      </c>
      <c r="O36" s="14">
        <v>0.81792645399999997</v>
      </c>
      <c r="P36" s="14">
        <v>2.44591E-4</v>
      </c>
      <c r="Q36" s="14">
        <v>-0.47263317500000002</v>
      </c>
      <c r="R36">
        <v>0</v>
      </c>
      <c r="S36" t="b">
        <v>1</v>
      </c>
      <c r="T36" s="1">
        <v>45322.666666666664</v>
      </c>
      <c r="U36" s="1">
        <v>45338.666666666664</v>
      </c>
      <c r="V36" s="14">
        <v>4.3835616438356165E-2</v>
      </c>
      <c r="W36">
        <v>3.7900000000000003E-2</v>
      </c>
      <c r="X36">
        <v>0.2</v>
      </c>
      <c r="Y36" s="14">
        <v>7.535409880093849E-2</v>
      </c>
      <c r="Z36">
        <v>5.7900000000000007E-2</v>
      </c>
      <c r="AA36" s="14">
        <v>4.3835616438356165E-2</v>
      </c>
      <c r="AB36" s="14">
        <v>4.1873913807217097E-2</v>
      </c>
      <c r="AC36" s="14">
        <v>1.8601600354656689</v>
      </c>
      <c r="AD36" s="14">
        <v>0.96856855630624061</v>
      </c>
      <c r="AE36" s="14">
        <v>3.1431443693759359E-2</v>
      </c>
      <c r="AF36" s="14">
        <v>1.7899999999999999E-2</v>
      </c>
      <c r="AG36" s="14">
        <v>1.8182861216584516</v>
      </c>
      <c r="AH36" s="14">
        <v>0.9654897935666148</v>
      </c>
      <c r="AI36" s="14">
        <v>3.4510206433385225E-2</v>
      </c>
      <c r="AJ36" s="14" t="s">
        <v>40</v>
      </c>
      <c r="AK36" s="14">
        <v>2.4283405416240669</v>
      </c>
      <c r="AL36" s="14">
        <v>2.4283405416240669</v>
      </c>
      <c r="AM36" s="14">
        <v>1.8601600354656689</v>
      </c>
      <c r="AN36" s="14">
        <v>1.8182861216584516</v>
      </c>
    </row>
    <row r="37" spans="1:40" x14ac:dyDescent="0.25">
      <c r="A37" s="1">
        <v>45322.666666666664</v>
      </c>
      <c r="B37">
        <v>20240216</v>
      </c>
      <c r="C37">
        <v>4663.5</v>
      </c>
      <c r="D37" s="14">
        <v>4648.2287960000003</v>
      </c>
      <c r="E37" t="s">
        <v>40</v>
      </c>
      <c r="F37">
        <v>4350</v>
      </c>
      <c r="G37">
        <v>10</v>
      </c>
      <c r="H37" t="s">
        <v>41</v>
      </c>
      <c r="I37" s="3">
        <v>3.7</v>
      </c>
      <c r="J37" s="14">
        <v>4</v>
      </c>
      <c r="K37" s="14">
        <v>20.387386589999998</v>
      </c>
      <c r="L37" s="14">
        <v>0.64329366399999999</v>
      </c>
      <c r="M37" s="14">
        <v>3.8743702369999999</v>
      </c>
      <c r="N37" s="14">
        <v>-4.8424413999999999E-2</v>
      </c>
      <c r="O37" s="14">
        <v>0.93302755199999998</v>
      </c>
      <c r="P37" s="14">
        <v>3.06275E-4</v>
      </c>
      <c r="Q37" s="14">
        <v>-0.54932380999999997</v>
      </c>
      <c r="R37">
        <v>0</v>
      </c>
      <c r="S37" t="b">
        <v>1</v>
      </c>
      <c r="T37" s="1">
        <v>45322.666666666664</v>
      </c>
      <c r="U37" s="1">
        <v>45338.666666666664</v>
      </c>
      <c r="V37" s="14">
        <v>4.3835616438356165E-2</v>
      </c>
      <c r="W37">
        <v>3.7900000000000003E-2</v>
      </c>
      <c r="X37">
        <v>0.2</v>
      </c>
      <c r="Y37" s="14">
        <v>6.9590394084188337E-2</v>
      </c>
      <c r="Z37">
        <v>5.7900000000000007E-2</v>
      </c>
      <c r="AA37" s="14">
        <v>4.3835616438356165E-2</v>
      </c>
      <c r="AB37" s="14">
        <v>4.1873913807217097E-2</v>
      </c>
      <c r="AC37" s="14">
        <v>1.7225157554662969</v>
      </c>
      <c r="AD37" s="14">
        <v>0.95751193440092763</v>
      </c>
      <c r="AE37" s="14">
        <v>4.2488065599072415E-2</v>
      </c>
      <c r="AF37" s="14">
        <v>1.7899999999999999E-2</v>
      </c>
      <c r="AG37" s="14">
        <v>1.6806418416590796</v>
      </c>
      <c r="AH37" s="14">
        <v>0.95358374829300219</v>
      </c>
      <c r="AI37" s="14">
        <v>4.6416251706997778E-2</v>
      </c>
      <c r="AJ37" s="14" t="s">
        <v>40</v>
      </c>
      <c r="AK37" s="14">
        <v>3.4324311582305995</v>
      </c>
      <c r="AL37" s="14">
        <v>3.4324311582305995</v>
      </c>
      <c r="AM37" s="14">
        <v>1.7225157554662969</v>
      </c>
      <c r="AN37" s="14">
        <v>1.6806418416590796</v>
      </c>
    </row>
    <row r="38" spans="1:40" x14ac:dyDescent="0.25">
      <c r="A38" s="1">
        <v>45322.666666666664</v>
      </c>
      <c r="B38">
        <v>20240216</v>
      </c>
      <c r="C38">
        <v>4663.5</v>
      </c>
      <c r="D38" s="14">
        <v>4648.2287960000003</v>
      </c>
      <c r="E38" t="s">
        <v>40</v>
      </c>
      <c r="F38">
        <v>4375</v>
      </c>
      <c r="G38">
        <v>10</v>
      </c>
      <c r="H38" t="s">
        <v>41</v>
      </c>
      <c r="I38" s="3">
        <v>4.4000000000000004</v>
      </c>
      <c r="J38" s="14">
        <v>4.7</v>
      </c>
      <c r="K38" s="14">
        <v>19.636345339999998</v>
      </c>
      <c r="L38" s="14">
        <v>0.64329366399999999</v>
      </c>
      <c r="M38" s="14">
        <v>4.5593718379999997</v>
      </c>
      <c r="N38" s="14">
        <v>-5.7536205E-2</v>
      </c>
      <c r="O38" s="14">
        <v>1.0697103889999999</v>
      </c>
      <c r="P38" s="14">
        <v>3.84884E-4</v>
      </c>
      <c r="Q38" s="14">
        <v>-0.640389392</v>
      </c>
      <c r="R38">
        <v>0</v>
      </c>
      <c r="S38" t="b">
        <v>1</v>
      </c>
      <c r="T38" s="1">
        <v>45322.666666666664</v>
      </c>
      <c r="U38" s="1">
        <v>45338.666666666664</v>
      </c>
      <c r="V38" s="14">
        <v>4.3835616438356165E-2</v>
      </c>
      <c r="W38">
        <v>3.7900000000000003E-2</v>
      </c>
      <c r="X38">
        <v>0.2</v>
      </c>
      <c r="Y38" s="14">
        <v>6.3859719375203336E-2</v>
      </c>
      <c r="Z38">
        <v>5.7900000000000007E-2</v>
      </c>
      <c r="AA38" s="14">
        <v>4.3835616438356165E-2</v>
      </c>
      <c r="AB38" s="14">
        <v>4.1873913807217097E-2</v>
      </c>
      <c r="AC38" s="14">
        <v>1.5856602722323103</v>
      </c>
      <c r="AD38" s="14">
        <v>0.94359180210586557</v>
      </c>
      <c r="AE38" s="14">
        <v>5.6408197894134454E-2</v>
      </c>
      <c r="AF38" s="14">
        <v>1.7899999999999999E-2</v>
      </c>
      <c r="AG38" s="14">
        <v>1.543786358425093</v>
      </c>
      <c r="AH38" s="14">
        <v>0.9386799514208819</v>
      </c>
      <c r="AI38" s="14">
        <v>6.1320048579118054E-2</v>
      </c>
      <c r="AJ38" s="14" t="s">
        <v>40</v>
      </c>
      <c r="AK38" s="14">
        <v>4.7702473361885041</v>
      </c>
      <c r="AL38" s="14">
        <v>4.7702473361885041</v>
      </c>
      <c r="AM38" s="14">
        <v>1.5856602722323103</v>
      </c>
      <c r="AN38" s="14">
        <v>1.543786358425093</v>
      </c>
    </row>
    <row r="39" spans="1:40" x14ac:dyDescent="0.25">
      <c r="A39" s="1">
        <v>45322.666666666664</v>
      </c>
      <c r="B39">
        <v>20240216</v>
      </c>
      <c r="C39">
        <v>4663.5</v>
      </c>
      <c r="D39" s="14">
        <v>4648.2287960000003</v>
      </c>
      <c r="E39" t="s">
        <v>40</v>
      </c>
      <c r="F39">
        <v>4400</v>
      </c>
      <c r="G39">
        <v>10</v>
      </c>
      <c r="H39" t="s">
        <v>41</v>
      </c>
      <c r="I39" s="3">
        <v>5.3</v>
      </c>
      <c r="J39" s="14">
        <v>5.5</v>
      </c>
      <c r="K39" s="14">
        <v>18.90794558</v>
      </c>
      <c r="L39" s="14">
        <v>0.64329366399999999</v>
      </c>
      <c r="M39" s="14">
        <v>5.4261362159999997</v>
      </c>
      <c r="N39" s="14">
        <v>-6.8937608999999997E-2</v>
      </c>
      <c r="O39" s="14">
        <v>1.2313655590000001</v>
      </c>
      <c r="P39" s="14">
        <v>4.8493199999999998E-4</v>
      </c>
      <c r="Q39" s="14">
        <v>-0.74810522800000001</v>
      </c>
      <c r="R39">
        <v>0</v>
      </c>
      <c r="S39" t="b">
        <v>1</v>
      </c>
      <c r="T39" s="1">
        <v>45322.666666666664</v>
      </c>
      <c r="U39" s="1">
        <v>45338.666666666664</v>
      </c>
      <c r="V39" s="14">
        <v>4.3835616438356165E-2</v>
      </c>
      <c r="W39">
        <v>3.7900000000000003E-2</v>
      </c>
      <c r="X39">
        <v>0.2</v>
      </c>
      <c r="Y39" s="14">
        <v>5.8161698260565602E-2</v>
      </c>
      <c r="Z39">
        <v>5.7900000000000007E-2</v>
      </c>
      <c r="AA39" s="14">
        <v>4.3835616438356165E-2</v>
      </c>
      <c r="AB39" s="14">
        <v>4.1873913807217097E-2</v>
      </c>
      <c r="AC39" s="14">
        <v>1.4495845965533949</v>
      </c>
      <c r="AD39" s="14">
        <v>0.92641280300704909</v>
      </c>
      <c r="AE39" s="14">
        <v>7.3587196992950923E-2</v>
      </c>
      <c r="AF39" s="14">
        <v>1.7899999999999999E-2</v>
      </c>
      <c r="AG39" s="14">
        <v>1.4077106827461778</v>
      </c>
      <c r="AH39" s="14">
        <v>0.9203916213729626</v>
      </c>
      <c r="AI39" s="14">
        <v>7.9608378627037443E-2</v>
      </c>
      <c r="AJ39" s="14" t="s">
        <v>40</v>
      </c>
      <c r="AK39" s="14">
        <v>6.5215164942421211</v>
      </c>
      <c r="AL39" s="14">
        <v>6.5215164942421211</v>
      </c>
      <c r="AM39" s="14">
        <v>1.4495845965533949</v>
      </c>
      <c r="AN39" s="14">
        <v>1.4077106827461778</v>
      </c>
    </row>
    <row r="40" spans="1:40" x14ac:dyDescent="0.25">
      <c r="A40" s="1">
        <v>45322.666666666664</v>
      </c>
      <c r="B40">
        <v>20240216</v>
      </c>
      <c r="C40">
        <v>4663.5</v>
      </c>
      <c r="D40" s="14">
        <v>4648.2287960000003</v>
      </c>
      <c r="E40" t="s">
        <v>40</v>
      </c>
      <c r="F40">
        <v>4425</v>
      </c>
      <c r="G40">
        <v>10</v>
      </c>
      <c r="H40" t="s">
        <v>41</v>
      </c>
      <c r="I40" s="3">
        <v>6.4</v>
      </c>
      <c r="J40" s="14">
        <v>6.7</v>
      </c>
      <c r="K40" s="14">
        <v>18.20182698</v>
      </c>
      <c r="L40" s="14">
        <v>0.64329366399999999</v>
      </c>
      <c r="M40" s="14">
        <v>6.5284766210000003</v>
      </c>
      <c r="N40" s="14">
        <v>-8.3234829999999996E-2</v>
      </c>
      <c r="O40" s="14">
        <v>1.421287959</v>
      </c>
      <c r="P40" s="14">
        <v>6.1180299999999996E-4</v>
      </c>
      <c r="Q40" s="14">
        <v>-0.87465125700000002</v>
      </c>
      <c r="R40">
        <v>0</v>
      </c>
      <c r="S40" t="b">
        <v>1</v>
      </c>
      <c r="T40" s="1">
        <v>45322.666666666664</v>
      </c>
      <c r="U40" s="1">
        <v>45338.666666666664</v>
      </c>
      <c r="V40" s="14">
        <v>4.3835616438356165E-2</v>
      </c>
      <c r="W40">
        <v>3.7900000000000003E-2</v>
      </c>
      <c r="X40">
        <v>0.2</v>
      </c>
      <c r="Y40" s="14">
        <v>5.2495960724888234E-2</v>
      </c>
      <c r="Z40">
        <v>5.7900000000000007E-2</v>
      </c>
      <c r="AA40" s="14">
        <v>4.3835616438356165E-2</v>
      </c>
      <c r="AB40" s="14">
        <v>4.1873913807217097E-2</v>
      </c>
      <c r="AC40" s="14">
        <v>1.3142798920119994</v>
      </c>
      <c r="AD40" s="14">
        <v>0.90562398424842205</v>
      </c>
      <c r="AE40" s="14">
        <v>9.4376015751577946E-2</v>
      </c>
      <c r="AF40" s="14">
        <v>1.7899999999999999E-2</v>
      </c>
      <c r="AG40" s="14">
        <v>1.2724059782047823</v>
      </c>
      <c r="AH40" s="14">
        <v>0.89838554445202878</v>
      </c>
      <c r="AI40" s="14">
        <v>0.10161445554797117</v>
      </c>
      <c r="AJ40" s="14" t="s">
        <v>40</v>
      </c>
      <c r="AK40" s="14">
        <v>8.7750116072716082</v>
      </c>
      <c r="AL40" s="14">
        <v>8.7750116072716082</v>
      </c>
      <c r="AM40" s="14">
        <v>1.3142798920119994</v>
      </c>
      <c r="AN40" s="14">
        <v>1.2724059782047823</v>
      </c>
    </row>
    <row r="41" spans="1:40" x14ac:dyDescent="0.25">
      <c r="A41" s="1">
        <v>45322.666666666664</v>
      </c>
      <c r="B41">
        <v>20240216</v>
      </c>
      <c r="C41">
        <v>4663.5</v>
      </c>
      <c r="D41" s="14">
        <v>4648.2287960000003</v>
      </c>
      <c r="E41" t="s">
        <v>40</v>
      </c>
      <c r="F41">
        <v>4450</v>
      </c>
      <c r="G41">
        <v>10</v>
      </c>
      <c r="H41" t="s">
        <v>41</v>
      </c>
      <c r="I41" s="3">
        <v>7.8</v>
      </c>
      <c r="J41" s="14">
        <v>8.1</v>
      </c>
      <c r="K41" s="14">
        <v>17.51763652</v>
      </c>
      <c r="L41" s="14">
        <v>0.64329366399999999</v>
      </c>
      <c r="M41" s="14">
        <v>7.9367048880000004</v>
      </c>
      <c r="N41" s="14">
        <v>-0.101176511</v>
      </c>
      <c r="O41" s="14">
        <v>1.642175867</v>
      </c>
      <c r="P41" s="14">
        <v>7.7161899999999997E-4</v>
      </c>
      <c r="Q41" s="14">
        <v>-1.0217564139999999</v>
      </c>
      <c r="R41">
        <v>0</v>
      </c>
      <c r="S41" t="b">
        <v>1</v>
      </c>
      <c r="T41" s="1">
        <v>45322.666666666664</v>
      </c>
      <c r="U41" s="1">
        <v>45338.666666666664</v>
      </c>
      <c r="V41" s="14">
        <v>4.3835616438356165E-2</v>
      </c>
      <c r="W41">
        <v>3.7900000000000003E-2</v>
      </c>
      <c r="X41">
        <v>0.2</v>
      </c>
      <c r="Y41" s="14">
        <v>4.6862143006632197E-2</v>
      </c>
      <c r="Z41">
        <v>5.7900000000000007E-2</v>
      </c>
      <c r="AA41" s="14">
        <v>4.3835616438356165E-2</v>
      </c>
      <c r="AB41" s="14">
        <v>4.1873913807217097E-2</v>
      </c>
      <c r="AC41" s="14">
        <v>1.1797374715400675</v>
      </c>
      <c r="AD41" s="14">
        <v>0.88094767722962275</v>
      </c>
      <c r="AE41" s="14">
        <v>0.11905232277037719</v>
      </c>
      <c r="AF41" s="14">
        <v>1.7899999999999999E-2</v>
      </c>
      <c r="AG41" s="14">
        <v>1.1378635577328504</v>
      </c>
      <c r="AH41" s="14">
        <v>0.87241126981455919</v>
      </c>
      <c r="AI41" s="14">
        <v>0.12758873018544076</v>
      </c>
      <c r="AJ41" s="14" t="s">
        <v>40</v>
      </c>
      <c r="AK41" s="14">
        <v>11.626849499934565</v>
      </c>
      <c r="AL41" s="14">
        <v>11.626849499934565</v>
      </c>
      <c r="AM41" s="14">
        <v>1.1797374715400675</v>
      </c>
      <c r="AN41" s="14">
        <v>1.1378635577328504</v>
      </c>
    </row>
    <row r="42" spans="1:40" x14ac:dyDescent="0.25">
      <c r="A42" s="1">
        <v>45322.666666666664</v>
      </c>
      <c r="B42">
        <v>20240216</v>
      </c>
      <c r="C42">
        <v>4663.5</v>
      </c>
      <c r="D42" s="14">
        <v>4648.2287960000003</v>
      </c>
      <c r="E42" t="s">
        <v>40</v>
      </c>
      <c r="F42">
        <v>4475</v>
      </c>
      <c r="G42">
        <v>10</v>
      </c>
      <c r="H42" t="s">
        <v>41</v>
      </c>
      <c r="I42" s="3">
        <v>9.6</v>
      </c>
      <c r="J42" s="14">
        <v>9.9</v>
      </c>
      <c r="K42" s="14">
        <v>16.8550282</v>
      </c>
      <c r="L42" s="14">
        <v>0.64329366399999999</v>
      </c>
      <c r="M42" s="14">
        <v>9.742124939</v>
      </c>
      <c r="N42" s="14">
        <v>-0.12366679999999999</v>
      </c>
      <c r="O42" s="14">
        <v>1.89531965</v>
      </c>
      <c r="P42" s="14">
        <v>9.7082899999999998E-4</v>
      </c>
      <c r="Q42" s="14">
        <v>-1.190131649</v>
      </c>
      <c r="R42">
        <v>0</v>
      </c>
      <c r="S42" t="b">
        <v>1</v>
      </c>
      <c r="T42" s="1">
        <v>45322.666666666664</v>
      </c>
      <c r="U42" s="1">
        <v>45338.666666666664</v>
      </c>
      <c r="V42" s="14">
        <v>4.3835616438356165E-2</v>
      </c>
      <c r="W42">
        <v>3.7900000000000003E-2</v>
      </c>
      <c r="X42">
        <v>0.2</v>
      </c>
      <c r="Y42" s="14">
        <v>4.1259887457962517E-2</v>
      </c>
      <c r="Z42">
        <v>5.7900000000000007E-2</v>
      </c>
      <c r="AA42" s="14">
        <v>4.3835616438356165E-2</v>
      </c>
      <c r="AB42" s="14">
        <v>4.1873913807217097E-2</v>
      </c>
      <c r="AC42" s="14">
        <v>1.0459487940722327</v>
      </c>
      <c r="AD42" s="14">
        <v>0.85220766271109682</v>
      </c>
      <c r="AE42" s="14">
        <v>0.14779233728890312</v>
      </c>
      <c r="AF42" s="14">
        <v>1.7899999999999999E-2</v>
      </c>
      <c r="AG42" s="14">
        <v>1.0040748802650157</v>
      </c>
      <c r="AH42" s="14">
        <v>0.84232873888465709</v>
      </c>
      <c r="AI42" s="14">
        <v>0.15767126111534294</v>
      </c>
      <c r="AJ42" s="14" t="s">
        <v>40</v>
      </c>
      <c r="AK42" s="14">
        <v>15.178074247433756</v>
      </c>
      <c r="AL42" s="14">
        <v>15.178074247433756</v>
      </c>
      <c r="AM42" s="14">
        <v>1.0459487940722327</v>
      </c>
      <c r="AN42" s="14">
        <v>1.0040748802650157</v>
      </c>
    </row>
    <row r="43" spans="1:40" x14ac:dyDescent="0.25">
      <c r="A43" s="1">
        <v>45322.666666666664</v>
      </c>
      <c r="B43">
        <v>20240216</v>
      </c>
      <c r="C43">
        <v>4663.5</v>
      </c>
      <c r="D43" s="14">
        <v>4648.2287960000003</v>
      </c>
      <c r="E43" t="s">
        <v>40</v>
      </c>
      <c r="F43">
        <v>4500</v>
      </c>
      <c r="G43">
        <v>10</v>
      </c>
      <c r="H43" t="s">
        <v>41</v>
      </c>
      <c r="I43" s="3">
        <v>11.9</v>
      </c>
      <c r="J43" s="14">
        <v>12.3</v>
      </c>
      <c r="K43" s="14">
        <v>16.213662970000001</v>
      </c>
      <c r="L43" s="14">
        <v>0.64329366399999999</v>
      </c>
      <c r="M43" s="14">
        <v>12.06214363</v>
      </c>
      <c r="N43" s="14">
        <v>-0.151762653</v>
      </c>
      <c r="O43" s="14">
        <v>2.1793897900000001</v>
      </c>
      <c r="P43" s="14">
        <v>1.2153310000000001E-3</v>
      </c>
      <c r="Q43" s="14">
        <v>-1.3786376979999999</v>
      </c>
      <c r="R43">
        <v>0</v>
      </c>
      <c r="S43" t="b">
        <v>1</v>
      </c>
      <c r="T43" s="1">
        <v>45322.666666666664</v>
      </c>
      <c r="U43" s="1">
        <v>45338.666666666664</v>
      </c>
      <c r="V43" s="14">
        <v>4.3835616438356165E-2</v>
      </c>
      <c r="W43">
        <v>3.7900000000000003E-2</v>
      </c>
      <c r="X43">
        <v>0.2</v>
      </c>
      <c r="Y43" s="14">
        <v>3.5688842408507067E-2</v>
      </c>
      <c r="Z43">
        <v>5.7900000000000007E-2</v>
      </c>
      <c r="AA43" s="14">
        <v>4.3835616438356165E-2</v>
      </c>
      <c r="AB43" s="14">
        <v>4.1873913807217097E-2</v>
      </c>
      <c r="AC43" s="14">
        <v>0.91290546129221295</v>
      </c>
      <c r="AD43" s="14">
        <v>0.81935386750461681</v>
      </c>
      <c r="AE43" s="14">
        <v>0.18064613249538317</v>
      </c>
      <c r="AF43" s="14">
        <v>1.7899999999999999E-2</v>
      </c>
      <c r="AG43" s="14">
        <v>0.87103154748499589</v>
      </c>
      <c r="AH43" s="14">
        <v>0.80813153601045684</v>
      </c>
      <c r="AI43" s="14">
        <v>0.19186846398954316</v>
      </c>
      <c r="AJ43" s="14" t="s">
        <v>40</v>
      </c>
      <c r="AK43" s="14">
        <v>19.531599792153202</v>
      </c>
      <c r="AL43" s="14">
        <v>19.531599792153202</v>
      </c>
      <c r="AM43" s="14">
        <v>0.91290546129221295</v>
      </c>
      <c r="AN43" s="14">
        <v>0.87103154748499589</v>
      </c>
    </row>
    <row r="44" spans="1:40" x14ac:dyDescent="0.25">
      <c r="A44" s="1">
        <v>45322.666666666664</v>
      </c>
      <c r="B44">
        <v>20240216</v>
      </c>
      <c r="C44">
        <v>4663.5</v>
      </c>
      <c r="D44" s="14">
        <v>4648.2287960000003</v>
      </c>
      <c r="E44" t="s">
        <v>40</v>
      </c>
      <c r="F44">
        <v>4525</v>
      </c>
      <c r="G44">
        <v>10</v>
      </c>
      <c r="H44" t="s">
        <v>41</v>
      </c>
      <c r="I44" s="3">
        <v>14.9</v>
      </c>
      <c r="J44" s="14">
        <v>15.3</v>
      </c>
      <c r="K44" s="14">
        <v>15.593208450000001</v>
      </c>
      <c r="L44" s="14">
        <v>0.64329366399999999</v>
      </c>
      <c r="M44" s="14">
        <v>15.0455664</v>
      </c>
      <c r="N44" s="14">
        <v>-0.18664118199999999</v>
      </c>
      <c r="O44" s="14">
        <v>2.4887760120000002</v>
      </c>
      <c r="P44" s="14">
        <v>1.5120820000000001E-3</v>
      </c>
      <c r="Q44" s="14">
        <v>-1.5864986670000001</v>
      </c>
      <c r="R44">
        <v>0</v>
      </c>
      <c r="S44" t="b">
        <v>1</v>
      </c>
      <c r="T44" s="1">
        <v>45322.666666666664</v>
      </c>
      <c r="U44" s="1">
        <v>45338.666666666664</v>
      </c>
      <c r="V44" s="14">
        <v>4.3835616438356165E-2</v>
      </c>
      <c r="W44">
        <v>3.7900000000000003E-2</v>
      </c>
      <c r="X44">
        <v>0.2</v>
      </c>
      <c r="Y44" s="14">
        <v>3.0148662032891679E-2</v>
      </c>
      <c r="Z44">
        <v>5.7900000000000007E-2</v>
      </c>
      <c r="AA44" s="14">
        <v>4.3835616438356165E-2</v>
      </c>
      <c r="AB44" s="14">
        <v>4.1873913807217097E-2</v>
      </c>
      <c r="AC44" s="14">
        <v>0.7805992144693874</v>
      </c>
      <c r="AD44" s="14">
        <v>0.78248087303009761</v>
      </c>
      <c r="AE44" s="14">
        <v>0.21751912696990233</v>
      </c>
      <c r="AF44" s="14">
        <v>1.7899999999999999E-2</v>
      </c>
      <c r="AG44" s="14">
        <v>0.73872530066217024</v>
      </c>
      <c r="AH44" s="14">
        <v>0.76996309036662924</v>
      </c>
      <c r="AI44" s="14">
        <v>0.23003690963337076</v>
      </c>
      <c r="AJ44" s="14" t="s">
        <v>40</v>
      </c>
      <c r="AK44" s="14">
        <v>24.78865505467661</v>
      </c>
      <c r="AL44" s="14">
        <v>24.78865505467661</v>
      </c>
      <c r="AM44" s="14">
        <v>0.7805992144693874</v>
      </c>
      <c r="AN44" s="14">
        <v>0.73872530066217024</v>
      </c>
    </row>
    <row r="45" spans="1:40" x14ac:dyDescent="0.25">
      <c r="A45" s="1">
        <v>45322.666666666664</v>
      </c>
      <c r="B45">
        <v>20240216</v>
      </c>
      <c r="C45">
        <v>4663.5</v>
      </c>
      <c r="D45" s="14">
        <v>4648.2287960000003</v>
      </c>
      <c r="E45" t="s">
        <v>40</v>
      </c>
      <c r="F45">
        <v>4550</v>
      </c>
      <c r="G45">
        <v>10</v>
      </c>
      <c r="H45" t="s">
        <v>41</v>
      </c>
      <c r="I45" s="3">
        <v>18.8</v>
      </c>
      <c r="J45" s="14">
        <v>19.2</v>
      </c>
      <c r="K45" s="14">
        <v>15.004803430000001</v>
      </c>
      <c r="L45" s="14">
        <v>0.64329366399999999</v>
      </c>
      <c r="M45" s="14">
        <v>18.909409459999999</v>
      </c>
      <c r="N45" s="14">
        <v>-0.22968081800000001</v>
      </c>
      <c r="O45" s="14">
        <v>2.8126691930000001</v>
      </c>
      <c r="P45" s="14">
        <v>1.862091E-3</v>
      </c>
      <c r="Q45" s="14">
        <v>-1.8090682950000001</v>
      </c>
      <c r="R45">
        <v>0</v>
      </c>
      <c r="S45" t="b">
        <v>1</v>
      </c>
      <c r="T45" s="1">
        <v>45322.666666666664</v>
      </c>
      <c r="U45" s="1">
        <v>45338.666666666664</v>
      </c>
      <c r="V45" s="14">
        <v>4.3835616438356165E-2</v>
      </c>
      <c r="W45">
        <v>3.7900000000000003E-2</v>
      </c>
      <c r="X45">
        <v>0.2</v>
      </c>
      <c r="Y45" s="14">
        <v>2.4639006221922093E-2</v>
      </c>
      <c r="Z45">
        <v>5.7900000000000007E-2</v>
      </c>
      <c r="AA45" s="14">
        <v>4.3835616438356165E-2</v>
      </c>
      <c r="AB45" s="14">
        <v>4.1873913807217097E-2</v>
      </c>
      <c r="AC45" s="14">
        <v>0.64902193138246511</v>
      </c>
      <c r="AD45" s="14">
        <v>0.74183789968151459</v>
      </c>
      <c r="AE45" s="14">
        <v>0.25816210031848541</v>
      </c>
      <c r="AF45" s="14">
        <v>1.7899999999999999E-2</v>
      </c>
      <c r="AG45" s="14">
        <v>0.60714801757524806</v>
      </c>
      <c r="AH45" s="14">
        <v>0.72812365689505554</v>
      </c>
      <c r="AI45" s="14">
        <v>0.27187634310494441</v>
      </c>
      <c r="AJ45" s="14" t="s">
        <v>40</v>
      </c>
      <c r="AK45" s="14">
        <v>31.044935960227122</v>
      </c>
      <c r="AL45" s="14">
        <v>31.044935960227122</v>
      </c>
      <c r="AM45" s="14">
        <v>0.64902193138246511</v>
      </c>
      <c r="AN45" s="14">
        <v>0.60714801757524806</v>
      </c>
    </row>
    <row r="46" spans="1:40" x14ac:dyDescent="0.25">
      <c r="A46" s="1">
        <v>45322.666666666664</v>
      </c>
      <c r="B46">
        <v>20240216</v>
      </c>
      <c r="C46">
        <v>4663.5</v>
      </c>
      <c r="D46" s="14">
        <v>4648.2287960000003</v>
      </c>
      <c r="E46" t="s">
        <v>40</v>
      </c>
      <c r="F46">
        <v>4575</v>
      </c>
      <c r="G46">
        <v>10</v>
      </c>
      <c r="H46" t="s">
        <v>41</v>
      </c>
      <c r="I46" s="3">
        <v>23.7</v>
      </c>
      <c r="J46" s="14">
        <v>24.2</v>
      </c>
      <c r="K46" s="14">
        <v>14.45934214</v>
      </c>
      <c r="L46" s="14">
        <v>0.64329366399999999</v>
      </c>
      <c r="M46" s="14">
        <v>23.922661860000002</v>
      </c>
      <c r="N46" s="14">
        <v>-0.282068233</v>
      </c>
      <c r="O46" s="14">
        <v>3.130463073</v>
      </c>
      <c r="P46" s="14">
        <v>2.2485420000000001E-3</v>
      </c>
      <c r="Q46" s="14">
        <v>-2.028576878</v>
      </c>
      <c r="R46">
        <v>0</v>
      </c>
      <c r="S46" t="b">
        <v>1</v>
      </c>
      <c r="T46" s="1">
        <v>45322.666666666664</v>
      </c>
      <c r="U46" s="1">
        <v>45338.666666666664</v>
      </c>
      <c r="V46" s="14">
        <v>4.3835616438356165E-2</v>
      </c>
      <c r="W46">
        <v>3.7900000000000003E-2</v>
      </c>
      <c r="X46">
        <v>0.2</v>
      </c>
      <c r="Y46" s="14">
        <v>1.9159540457296443E-2</v>
      </c>
      <c r="Z46">
        <v>5.7900000000000007E-2</v>
      </c>
      <c r="AA46" s="14">
        <v>4.3835616438356165E-2</v>
      </c>
      <c r="AB46" s="14">
        <v>4.1873913807217097E-2</v>
      </c>
      <c r="AC46" s="14">
        <v>0.51816562332746674</v>
      </c>
      <c r="AD46" s="14">
        <v>0.69782864128842081</v>
      </c>
      <c r="AE46" s="14">
        <v>0.30217135871157919</v>
      </c>
      <c r="AF46" s="14">
        <v>1.7899999999999999E-2</v>
      </c>
      <c r="AG46" s="14">
        <v>0.47629170952024968</v>
      </c>
      <c r="AH46" s="14">
        <v>0.6830667145439242</v>
      </c>
      <c r="AI46" s="14">
        <v>0.31693328545607574</v>
      </c>
      <c r="AJ46" s="14" t="s">
        <v>40</v>
      </c>
      <c r="AK46" s="14">
        <v>38.386713472932342</v>
      </c>
      <c r="AL46" s="14">
        <v>38.386713472932342</v>
      </c>
      <c r="AM46" s="14">
        <v>0.51816562332746674</v>
      </c>
      <c r="AN46" s="14">
        <v>0.47629170952024968</v>
      </c>
    </row>
    <row r="47" spans="1:40" x14ac:dyDescent="0.25">
      <c r="A47" s="1">
        <v>45322.666666666664</v>
      </c>
      <c r="B47">
        <v>20240216</v>
      </c>
      <c r="C47">
        <v>4663.5</v>
      </c>
      <c r="D47" s="14">
        <v>4648.2287960000003</v>
      </c>
      <c r="E47" t="s">
        <v>40</v>
      </c>
      <c r="F47">
        <v>4600</v>
      </c>
      <c r="G47">
        <v>10</v>
      </c>
      <c r="H47" t="s">
        <v>41</v>
      </c>
      <c r="I47" s="3">
        <v>30</v>
      </c>
      <c r="J47" s="14">
        <v>30.6</v>
      </c>
      <c r="K47" s="14">
        <v>13.956140660000001</v>
      </c>
      <c r="L47" s="14">
        <v>0.64329366399999999</v>
      </c>
      <c r="M47" s="14">
        <v>30.360499000000001</v>
      </c>
      <c r="N47" s="14">
        <v>-0.34428273100000001</v>
      </c>
      <c r="O47" s="14">
        <v>3.4097443869999999</v>
      </c>
      <c r="P47" s="14">
        <v>2.639883E-3</v>
      </c>
      <c r="Q47" s="14">
        <v>-2.2187517259999998</v>
      </c>
      <c r="R47">
        <v>0</v>
      </c>
      <c r="S47" t="b">
        <v>1</v>
      </c>
      <c r="T47" s="1">
        <v>45322.666666666664</v>
      </c>
      <c r="U47" s="1">
        <v>45338.666666666664</v>
      </c>
      <c r="V47" s="14">
        <v>4.3835616438356165E-2</v>
      </c>
      <c r="W47">
        <v>3.7900000000000003E-2</v>
      </c>
      <c r="X47">
        <v>0.2</v>
      </c>
      <c r="Y47" s="14">
        <v>1.3709935689731839E-2</v>
      </c>
      <c r="Z47">
        <v>5.7900000000000007E-2</v>
      </c>
      <c r="AA47" s="14">
        <v>4.3835616438356165E-2</v>
      </c>
      <c r="AB47" s="14">
        <v>4.1873913807217097E-2</v>
      </c>
      <c r="AC47" s="14">
        <v>0.38802243220723892</v>
      </c>
      <c r="AD47" s="14">
        <v>0.65100028342543215</v>
      </c>
      <c r="AE47" s="14">
        <v>0.34899971657456785</v>
      </c>
      <c r="AF47" s="14">
        <v>1.7899999999999999E-2</v>
      </c>
      <c r="AG47" s="14">
        <v>0.34614851840002181</v>
      </c>
      <c r="AH47" s="14">
        <v>0.63538444892342627</v>
      </c>
      <c r="AI47" s="14">
        <v>0.36461555107657373</v>
      </c>
      <c r="AJ47" s="14" t="s">
        <v>40</v>
      </c>
      <c r="AK47" s="14">
        <v>46.887168205109219</v>
      </c>
      <c r="AL47" s="14">
        <v>46.887168205109219</v>
      </c>
      <c r="AM47" s="14">
        <v>0.38802243220723892</v>
      </c>
      <c r="AN47" s="14">
        <v>0.34614851840002181</v>
      </c>
    </row>
    <row r="48" spans="1:40" x14ac:dyDescent="0.25">
      <c r="A48" s="1">
        <v>45322.666666666664</v>
      </c>
      <c r="B48">
        <v>20240216</v>
      </c>
      <c r="C48">
        <v>4663.5</v>
      </c>
      <c r="D48" s="14">
        <v>4648.2287960000003</v>
      </c>
      <c r="E48" t="s">
        <v>40</v>
      </c>
      <c r="F48">
        <v>4625</v>
      </c>
      <c r="G48">
        <v>10</v>
      </c>
      <c r="H48" t="s">
        <v>41</v>
      </c>
      <c r="I48" s="3">
        <v>38</v>
      </c>
      <c r="J48" s="14">
        <v>38.6</v>
      </c>
      <c r="K48" s="14">
        <v>13.49452851</v>
      </c>
      <c r="L48" s="14">
        <v>0.64329366399999999</v>
      </c>
      <c r="M48" s="14">
        <v>38.510762970000002</v>
      </c>
      <c r="N48" s="14">
        <v>-0.41588445400000001</v>
      </c>
      <c r="O48" s="14">
        <v>3.6098760140000001</v>
      </c>
      <c r="P48" s="14">
        <v>2.9924679999999999E-3</v>
      </c>
      <c r="Q48" s="14">
        <v>-2.3514645679999999</v>
      </c>
      <c r="R48">
        <v>0</v>
      </c>
      <c r="S48" t="b">
        <v>1</v>
      </c>
      <c r="T48" s="1">
        <v>45322.666666666664</v>
      </c>
      <c r="U48" s="1">
        <v>45338.666666666664</v>
      </c>
      <c r="V48" s="14">
        <v>4.3835616438356165E-2</v>
      </c>
      <c r="W48">
        <v>3.7900000000000003E-2</v>
      </c>
      <c r="X48">
        <v>0.2</v>
      </c>
      <c r="Y48" s="14">
        <v>8.289868220392585E-3</v>
      </c>
      <c r="Z48">
        <v>5.7900000000000007E-2</v>
      </c>
      <c r="AA48" s="14">
        <v>4.3835616438356165E-2</v>
      </c>
      <c r="AB48" s="14">
        <v>4.1873913807217097E-2</v>
      </c>
      <c r="AC48" s="14">
        <v>0.25858462769981577</v>
      </c>
      <c r="AD48" s="14">
        <v>0.60202212737228455</v>
      </c>
      <c r="AE48" s="14">
        <v>0.39797787262771545</v>
      </c>
      <c r="AF48" s="14">
        <v>1.7899999999999999E-2</v>
      </c>
      <c r="AG48" s="14">
        <v>0.21671071389259863</v>
      </c>
      <c r="AH48" s="14">
        <v>0.58578310103045861</v>
      </c>
      <c r="AI48" s="14">
        <v>0.41421689896954134</v>
      </c>
      <c r="AJ48" s="14" t="s">
        <v>40</v>
      </c>
      <c r="AK48" s="14">
        <v>56.603216592865465</v>
      </c>
      <c r="AL48" s="14">
        <v>56.603216592865465</v>
      </c>
      <c r="AM48" s="14">
        <v>0.25858462769981577</v>
      </c>
      <c r="AN48" s="14">
        <v>0.21671071389259863</v>
      </c>
    </row>
    <row r="49" spans="1:40" x14ac:dyDescent="0.25">
      <c r="A49" s="1">
        <v>45322.666666666664</v>
      </c>
      <c r="B49">
        <v>20240216</v>
      </c>
      <c r="C49">
        <v>4663.5</v>
      </c>
      <c r="D49" s="14">
        <v>4648.2287960000003</v>
      </c>
      <c r="E49" t="s">
        <v>40</v>
      </c>
      <c r="F49">
        <v>4650</v>
      </c>
      <c r="G49">
        <v>10</v>
      </c>
      <c r="H49" t="s">
        <v>41</v>
      </c>
      <c r="I49" s="3">
        <v>48.2</v>
      </c>
      <c r="J49" s="14">
        <v>48.9</v>
      </c>
      <c r="K49" s="14">
        <v>13.102048699999999</v>
      </c>
      <c r="L49" s="14">
        <v>0.64329366399999999</v>
      </c>
      <c r="M49" s="14">
        <v>48.746727200000002</v>
      </c>
      <c r="N49" s="14">
        <v>-0.49515166799999999</v>
      </c>
      <c r="O49" s="14">
        <v>3.6881835010000001</v>
      </c>
      <c r="P49" s="14">
        <v>3.2373240000000002E-3</v>
      </c>
      <c r="Q49" s="14">
        <v>-2.398048492</v>
      </c>
      <c r="R49">
        <v>0</v>
      </c>
      <c r="S49" t="b">
        <v>1</v>
      </c>
      <c r="T49" s="1">
        <v>45322.666666666664</v>
      </c>
      <c r="U49" s="1">
        <v>45338.666666666664</v>
      </c>
      <c r="V49" s="14">
        <v>4.3835616438356165E-2</v>
      </c>
      <c r="W49">
        <v>3.7900000000000003E-2</v>
      </c>
      <c r="X49">
        <v>0.2</v>
      </c>
      <c r="Y49" s="14">
        <v>2.8990195855162215E-3</v>
      </c>
      <c r="Z49">
        <v>5.7900000000000007E-2</v>
      </c>
      <c r="AA49" s="14">
        <v>4.3835616438356165E-2</v>
      </c>
      <c r="AB49" s="14">
        <v>4.1873913807217097E-2</v>
      </c>
      <c r="AC49" s="14">
        <v>0.12984460450314875</v>
      </c>
      <c r="AD49" s="14">
        <v>0.55165531384087352</v>
      </c>
      <c r="AE49" s="14">
        <v>0.44834468615912643</v>
      </c>
      <c r="AF49" s="14">
        <v>1.7899999999999999E-2</v>
      </c>
      <c r="AG49" s="14">
        <v>8.797069069593165E-2</v>
      </c>
      <c r="AH49" s="14">
        <v>0.53505001437925315</v>
      </c>
      <c r="AI49" s="14">
        <v>0.4649499856207468</v>
      </c>
      <c r="AJ49" s="14" t="s">
        <v>40</v>
      </c>
      <c r="AK49" s="14">
        <v>67.573060720997091</v>
      </c>
      <c r="AL49" s="14">
        <v>67.573060720997091</v>
      </c>
      <c r="AM49" s="14">
        <v>0.12984460450314875</v>
      </c>
      <c r="AN49" s="14">
        <v>8.797069069593165E-2</v>
      </c>
    </row>
    <row r="50" spans="1:40" x14ac:dyDescent="0.25">
      <c r="A50" s="1">
        <v>45322.666666666664</v>
      </c>
      <c r="B50">
        <v>20240216</v>
      </c>
      <c r="C50">
        <v>4663.5</v>
      </c>
      <c r="D50" s="14">
        <v>4648.2287960000003</v>
      </c>
      <c r="E50" t="s">
        <v>40</v>
      </c>
      <c r="F50">
        <v>4675</v>
      </c>
      <c r="G50">
        <v>10</v>
      </c>
      <c r="H50" t="s">
        <v>41</v>
      </c>
      <c r="I50" s="3">
        <v>61</v>
      </c>
      <c r="J50" s="14">
        <v>61.7</v>
      </c>
      <c r="K50" s="14">
        <v>12.805653</v>
      </c>
      <c r="L50" s="14">
        <v>0.64329366399999999</v>
      </c>
      <c r="M50" s="14">
        <v>61.370822390000001</v>
      </c>
      <c r="N50" s="14">
        <v>-0.57822056899999996</v>
      </c>
      <c r="O50" s="14">
        <v>3.6119201809999999</v>
      </c>
      <c r="P50" s="14">
        <v>3.3007459999999998E-3</v>
      </c>
      <c r="Q50" s="14">
        <v>-2.3356568719999999</v>
      </c>
      <c r="R50">
        <v>0</v>
      </c>
      <c r="S50" t="b">
        <v>1</v>
      </c>
      <c r="T50" s="1">
        <v>45322.666666666664</v>
      </c>
      <c r="U50" s="1">
        <v>45338.666666666664</v>
      </c>
      <c r="V50" s="14">
        <v>4.3835616438356165E-2</v>
      </c>
      <c r="W50">
        <v>3.7900000000000003E-2</v>
      </c>
      <c r="X50">
        <v>0.2</v>
      </c>
      <c r="Y50" s="14">
        <v>-2.4629235558691633E-3</v>
      </c>
      <c r="Z50">
        <v>5.7900000000000007E-2</v>
      </c>
      <c r="AA50" s="14">
        <v>4.3835616438356165E-2</v>
      </c>
      <c r="AB50" s="14">
        <v>4.1873913807217097E-2</v>
      </c>
      <c r="AC50" s="14">
        <v>1.7948796536593409E-3</v>
      </c>
      <c r="AD50" s="14">
        <v>0.50071605299760513</v>
      </c>
      <c r="AE50" s="14">
        <v>0.49928394700239492</v>
      </c>
      <c r="AF50" s="14">
        <v>1.7899999999999999E-2</v>
      </c>
      <c r="AG50" s="14">
        <v>-4.0079034153557763E-2</v>
      </c>
      <c r="AH50" s="14">
        <v>0.48401505834551667</v>
      </c>
      <c r="AI50" s="14">
        <v>0.51598494165448328</v>
      </c>
      <c r="AJ50" s="14" t="s">
        <v>40</v>
      </c>
      <c r="AK50" s="14">
        <v>79.814637039938589</v>
      </c>
      <c r="AL50" s="14">
        <v>79.814637039938589</v>
      </c>
      <c r="AM50" s="14">
        <v>1.7948796536593409E-3</v>
      </c>
      <c r="AN50" s="14">
        <v>-4.0079034153557763E-2</v>
      </c>
    </row>
    <row r="51" spans="1:40" x14ac:dyDescent="0.25">
      <c r="A51" s="1">
        <v>45322.666666666664</v>
      </c>
      <c r="B51">
        <v>20240216</v>
      </c>
      <c r="C51">
        <v>4663.5</v>
      </c>
      <c r="D51" s="14">
        <v>4648.2287960000003</v>
      </c>
      <c r="E51" t="s">
        <v>40</v>
      </c>
      <c r="F51">
        <v>4700</v>
      </c>
      <c r="G51">
        <v>10</v>
      </c>
      <c r="H51" t="s">
        <v>41</v>
      </c>
      <c r="I51" s="3">
        <v>75.8</v>
      </c>
      <c r="J51" s="14">
        <v>77.2</v>
      </c>
      <c r="K51" s="14">
        <v>12.60381662</v>
      </c>
      <c r="L51" s="14">
        <v>0.64329366399999999</v>
      </c>
      <c r="M51" s="14">
        <v>76.431398709999996</v>
      </c>
      <c r="N51" s="14">
        <v>-0.65978301299999997</v>
      </c>
      <c r="O51" s="14">
        <v>3.3760061709999998</v>
      </c>
      <c r="P51" s="14">
        <v>3.151671E-3</v>
      </c>
      <c r="Q51" s="14">
        <v>-2.16042135</v>
      </c>
      <c r="R51">
        <v>0</v>
      </c>
      <c r="S51" t="b">
        <v>1</v>
      </c>
      <c r="T51" s="1">
        <v>45322.666666666664</v>
      </c>
      <c r="U51" s="1">
        <v>45338.666666666664</v>
      </c>
      <c r="V51" s="14">
        <v>4.3835616438356165E-2</v>
      </c>
      <c r="W51">
        <v>3.7900000000000003E-2</v>
      </c>
      <c r="X51">
        <v>0.2</v>
      </c>
      <c r="Y51" s="14">
        <v>-7.7962695312317754E-3</v>
      </c>
      <c r="Z51">
        <v>5.7900000000000007E-2</v>
      </c>
      <c r="AA51" s="14">
        <v>4.3835616438356165E-2</v>
      </c>
      <c r="AB51" s="14">
        <v>4.1873913807217097E-2</v>
      </c>
      <c r="AC51" s="14">
        <v>-0.12557191008366378</v>
      </c>
      <c r="AD51" s="14">
        <v>0.45003539970931694</v>
      </c>
      <c r="AE51" s="14">
        <v>0.54996460029068306</v>
      </c>
      <c r="AF51" s="14">
        <v>1.7899999999999999E-2</v>
      </c>
      <c r="AG51" s="14">
        <v>-0.16744582389088089</v>
      </c>
      <c r="AH51" s="14">
        <v>0.43350963592646663</v>
      </c>
      <c r="AI51" s="14">
        <v>0.56649036407353337</v>
      </c>
      <c r="AJ51" s="14" t="s">
        <v>40</v>
      </c>
      <c r="AK51" s="14">
        <v>93.325065024697324</v>
      </c>
      <c r="AL51" s="14">
        <v>93.325065024697324</v>
      </c>
      <c r="AM51" s="14">
        <v>-0.12557191008366378</v>
      </c>
      <c r="AN51" s="14">
        <v>-0.16744582389088089</v>
      </c>
    </row>
    <row r="52" spans="1:40" x14ac:dyDescent="0.25">
      <c r="A52" s="1">
        <v>45322.666666666664</v>
      </c>
      <c r="B52">
        <v>20240216</v>
      </c>
      <c r="C52">
        <v>4663.5</v>
      </c>
      <c r="D52" s="14">
        <v>4648.2287960000003</v>
      </c>
      <c r="E52" t="s">
        <v>40</v>
      </c>
      <c r="F52">
        <v>4725</v>
      </c>
      <c r="G52">
        <v>10</v>
      </c>
      <c r="H52" t="s">
        <v>41</v>
      </c>
      <c r="I52" s="3">
        <v>93.1</v>
      </c>
      <c r="J52" s="14">
        <v>94.7</v>
      </c>
      <c r="K52" s="14">
        <v>12.495044310000001</v>
      </c>
      <c r="L52" s="14">
        <v>0.64329366399999999</v>
      </c>
      <c r="M52" s="14">
        <v>93.797071990000006</v>
      </c>
      <c r="N52" s="14">
        <v>-0.73458033499999997</v>
      </c>
      <c r="O52" s="14">
        <v>3.0097791950000001</v>
      </c>
      <c r="P52" s="14">
        <v>2.819939E-3</v>
      </c>
      <c r="Q52" s="14">
        <v>-1.899803495</v>
      </c>
      <c r="R52">
        <v>0</v>
      </c>
      <c r="S52" t="b">
        <v>1</v>
      </c>
      <c r="T52" s="1">
        <v>45322.666666666664</v>
      </c>
      <c r="U52" s="1">
        <v>45338.666666666664</v>
      </c>
      <c r="V52" s="14">
        <v>4.3835616438356165E-2</v>
      </c>
      <c r="W52">
        <v>3.7900000000000003E-2</v>
      </c>
      <c r="X52">
        <v>0.2</v>
      </c>
      <c r="Y52" s="14">
        <v>-1.3101321760924956E-2</v>
      </c>
      <c r="Z52">
        <v>5.7900000000000007E-2</v>
      </c>
      <c r="AA52" s="14">
        <v>4.3835616438356165E-2</v>
      </c>
      <c r="AB52" s="14">
        <v>4.1873913807217097E-2</v>
      </c>
      <c r="AC52" s="14">
        <v>-0.25226301075595964</v>
      </c>
      <c r="AD52" s="14">
        <v>0.4004188884360973</v>
      </c>
      <c r="AE52" s="14">
        <v>0.5995811115639027</v>
      </c>
      <c r="AF52" s="14">
        <v>1.7899999999999999E-2</v>
      </c>
      <c r="AG52" s="14">
        <v>-0.29413692456317675</v>
      </c>
      <c r="AH52" s="14">
        <v>0.38432663823750102</v>
      </c>
      <c r="AI52" s="14">
        <v>0.61567336176249898</v>
      </c>
      <c r="AJ52" s="14" t="s">
        <v>40</v>
      </c>
      <c r="AK52" s="14">
        <v>108.08111402116401</v>
      </c>
      <c r="AL52" s="14">
        <v>108.08111402116401</v>
      </c>
      <c r="AM52" s="14">
        <v>-0.25226301075595964</v>
      </c>
      <c r="AN52" s="14">
        <v>-0.29413692456317675</v>
      </c>
    </row>
    <row r="53" spans="1:40" x14ac:dyDescent="0.25">
      <c r="A53" s="1">
        <v>45322.666666666664</v>
      </c>
      <c r="B53">
        <v>20240216</v>
      </c>
      <c r="C53">
        <v>4663.5</v>
      </c>
      <c r="D53" s="14">
        <v>4648.2287960000003</v>
      </c>
      <c r="E53" t="s">
        <v>40</v>
      </c>
      <c r="F53">
        <v>4750</v>
      </c>
      <c r="G53">
        <v>10</v>
      </c>
      <c r="H53" t="s">
        <v>41</v>
      </c>
      <c r="I53" s="3">
        <v>112.3</v>
      </c>
      <c r="J53" s="14">
        <v>114</v>
      </c>
      <c r="K53" s="14">
        <v>12.465173679999999</v>
      </c>
      <c r="L53" s="14">
        <v>0.64329366399999999</v>
      </c>
      <c r="M53" s="14">
        <v>113.1489894</v>
      </c>
      <c r="N53" s="14">
        <v>-0.79894474599999998</v>
      </c>
      <c r="O53" s="14">
        <v>2.5662014960000001</v>
      </c>
      <c r="P53" s="14">
        <v>2.3780250000000002E-3</v>
      </c>
      <c r="Q53" s="14">
        <v>-1.5944339759999999</v>
      </c>
      <c r="R53">
        <v>0</v>
      </c>
      <c r="S53" t="b">
        <v>1</v>
      </c>
      <c r="T53" s="1">
        <v>45322.666666666664</v>
      </c>
      <c r="U53" s="1">
        <v>45338.666666666664</v>
      </c>
      <c r="V53" s="14">
        <v>4.3835616438356165E-2</v>
      </c>
      <c r="W53">
        <v>3.7900000000000003E-2</v>
      </c>
      <c r="X53">
        <v>0.2</v>
      </c>
      <c r="Y53" s="14">
        <v>-1.8378378861768681E-2</v>
      </c>
      <c r="Z53">
        <v>5.7900000000000007E-2</v>
      </c>
      <c r="AA53" s="14">
        <v>4.3835616438356165E-2</v>
      </c>
      <c r="AB53" s="14">
        <v>4.1873913807217097E-2</v>
      </c>
      <c r="AC53" s="14">
        <v>-0.37828555369614714</v>
      </c>
      <c r="AD53" s="14">
        <v>0.35260923798464328</v>
      </c>
      <c r="AE53" s="14">
        <v>0.64739076201535672</v>
      </c>
      <c r="AF53" s="14">
        <v>1.7899999999999999E-2</v>
      </c>
      <c r="AG53" s="14">
        <v>-0.42015946750336419</v>
      </c>
      <c r="AH53" s="14">
        <v>0.33718448127258099</v>
      </c>
      <c r="AI53" s="14">
        <v>0.66281551872741895</v>
      </c>
      <c r="AJ53" s="14" t="s">
        <v>40</v>
      </c>
      <c r="AK53" s="14">
        <v>124.0406246771131</v>
      </c>
      <c r="AL53" s="14">
        <v>124.0406246771131</v>
      </c>
      <c r="AM53" s="14">
        <v>-0.37828555369614714</v>
      </c>
      <c r="AN53" s="14">
        <v>-0.42015946750336419</v>
      </c>
    </row>
    <row r="54" spans="1:40" x14ac:dyDescent="0.25">
      <c r="A54" s="1">
        <v>45322.666666666664</v>
      </c>
      <c r="B54">
        <v>20240216</v>
      </c>
      <c r="C54">
        <v>4663.5</v>
      </c>
      <c r="D54" s="14">
        <v>4648.2287960000003</v>
      </c>
      <c r="E54" t="s">
        <v>40</v>
      </c>
      <c r="F54">
        <v>4775</v>
      </c>
      <c r="G54">
        <v>10</v>
      </c>
      <c r="H54" t="s">
        <v>41</v>
      </c>
      <c r="I54" s="3">
        <v>133.1</v>
      </c>
      <c r="J54" s="14">
        <v>134.9</v>
      </c>
      <c r="K54" s="14">
        <v>12.50033672</v>
      </c>
      <c r="L54" s="14">
        <v>0.64329366399999999</v>
      </c>
      <c r="M54" s="14">
        <v>134.1007821</v>
      </c>
      <c r="N54" s="14">
        <v>-0.85131633900000003</v>
      </c>
      <c r="O54" s="14">
        <v>2.1028059020000001</v>
      </c>
      <c r="P54" s="14">
        <v>1.900821E-3</v>
      </c>
      <c r="Q54" s="14">
        <v>-1.2816754319999999</v>
      </c>
      <c r="R54">
        <v>0</v>
      </c>
      <c r="S54" t="b">
        <v>1</v>
      </c>
      <c r="T54" s="1">
        <v>45322.666666666664</v>
      </c>
      <c r="U54" s="1">
        <v>45338.666666666664</v>
      </c>
      <c r="V54" s="14">
        <v>4.3835616438356165E-2</v>
      </c>
      <c r="W54">
        <v>3.7900000000000003E-2</v>
      </c>
      <c r="X54">
        <v>0.2</v>
      </c>
      <c r="Y54" s="14">
        <v>-2.3627734747912386E-2</v>
      </c>
      <c r="Z54">
        <v>5.7900000000000007E-2</v>
      </c>
      <c r="AA54" s="14">
        <v>4.3835616438356165E-2</v>
      </c>
      <c r="AB54" s="14">
        <v>4.1873913807217097E-2</v>
      </c>
      <c r="AC54" s="14">
        <v>-0.50364655793165192</v>
      </c>
      <c r="AD54" s="14">
        <v>0.30725488463361411</v>
      </c>
      <c r="AE54" s="14">
        <v>0.69274511536638594</v>
      </c>
      <c r="AF54" s="14">
        <v>1.7899999999999999E-2</v>
      </c>
      <c r="AG54" s="14">
        <v>-0.54552047173886897</v>
      </c>
      <c r="AH54" s="14">
        <v>0.29269780231880338</v>
      </c>
      <c r="AI54" s="14">
        <v>0.70730219768119662</v>
      </c>
      <c r="AJ54" s="14" t="s">
        <v>40</v>
      </c>
      <c r="AK54" s="14">
        <v>141.14474945583243</v>
      </c>
      <c r="AL54" s="14">
        <v>141.14474945583243</v>
      </c>
      <c r="AM54" s="14">
        <v>-0.50364655793165192</v>
      </c>
      <c r="AN54" s="14">
        <v>-0.54552047173886897</v>
      </c>
    </row>
    <row r="55" spans="1:40" x14ac:dyDescent="0.25">
      <c r="A55" s="1">
        <v>45322.666666666664</v>
      </c>
      <c r="B55">
        <v>20240216</v>
      </c>
      <c r="C55">
        <v>4663.5</v>
      </c>
      <c r="D55" s="14">
        <v>4648.2287960000003</v>
      </c>
      <c r="E55" t="s">
        <v>40</v>
      </c>
      <c r="F55">
        <v>4800</v>
      </c>
      <c r="G55">
        <v>10</v>
      </c>
      <c r="H55" t="s">
        <v>41</v>
      </c>
      <c r="I55" s="3">
        <v>155.1</v>
      </c>
      <c r="J55" s="14">
        <v>157.1</v>
      </c>
      <c r="K55" s="14">
        <v>12.599516339999999</v>
      </c>
      <c r="L55" s="14">
        <v>0.64329366399999999</v>
      </c>
      <c r="M55" s="14">
        <v>156.28976359999999</v>
      </c>
      <c r="N55" s="14">
        <v>-0.89176650999999996</v>
      </c>
      <c r="O55" s="14">
        <v>1.6684081239999999</v>
      </c>
      <c r="P55" s="14">
        <v>1.4481800000000001E-3</v>
      </c>
      <c r="Q55" s="14">
        <v>-0.99202761800000006</v>
      </c>
      <c r="R55">
        <v>0</v>
      </c>
      <c r="S55" t="b">
        <v>1</v>
      </c>
      <c r="T55" s="1">
        <v>45322.666666666664</v>
      </c>
      <c r="U55" s="1">
        <v>45338.666666666664</v>
      </c>
      <c r="V55" s="14">
        <v>4.3835616438356165E-2</v>
      </c>
      <c r="W55">
        <v>3.7900000000000003E-2</v>
      </c>
      <c r="X55">
        <v>0.2</v>
      </c>
      <c r="Y55" s="14">
        <v>-2.8849678729064108E-2</v>
      </c>
      <c r="Z55">
        <v>5.7900000000000007E-2</v>
      </c>
      <c r="AA55" s="14">
        <v>4.3835616438356165E-2</v>
      </c>
      <c r="AB55" s="14">
        <v>4.1873913807217097E-2</v>
      </c>
      <c r="AC55" s="14">
        <v>-0.62835293253023805</v>
      </c>
      <c r="AD55" s="14">
        <v>0.2648863816021354</v>
      </c>
      <c r="AE55" s="14">
        <v>0.7351136183978646</v>
      </c>
      <c r="AF55" s="14">
        <v>1.7899999999999999E-2</v>
      </c>
      <c r="AG55" s="14">
        <v>-0.67022684633745511</v>
      </c>
      <c r="AH55" s="14">
        <v>0.25135659623784018</v>
      </c>
      <c r="AI55" s="14">
        <v>0.74864340376215988</v>
      </c>
      <c r="AJ55" s="14" t="s">
        <v>40</v>
      </c>
      <c r="AK55" s="14">
        <v>159.32082196982128</v>
      </c>
      <c r="AL55" s="14">
        <v>159.32082196982128</v>
      </c>
      <c r="AM55" s="14">
        <v>-0.62835293253023805</v>
      </c>
      <c r="AN55" s="14">
        <v>-0.67022684633745511</v>
      </c>
    </row>
    <row r="56" spans="1:40" x14ac:dyDescent="0.25">
      <c r="A56" s="1">
        <v>45322.666666666664</v>
      </c>
      <c r="B56">
        <v>20240216</v>
      </c>
      <c r="C56">
        <v>4663.5</v>
      </c>
      <c r="D56" s="14">
        <v>4648.2287960000003</v>
      </c>
      <c r="E56" t="s">
        <v>40</v>
      </c>
      <c r="F56">
        <v>4825</v>
      </c>
      <c r="G56">
        <v>10</v>
      </c>
      <c r="H56" t="s">
        <v>41</v>
      </c>
      <c r="I56" s="3">
        <v>178.2</v>
      </c>
      <c r="J56" s="14">
        <v>180.2</v>
      </c>
      <c r="K56" s="14">
        <v>12.761714769999999</v>
      </c>
      <c r="L56" s="14">
        <v>0.64329366399999999</v>
      </c>
      <c r="M56" s="14">
        <v>179.3838116</v>
      </c>
      <c r="N56" s="14">
        <v>-0.92166621500000001</v>
      </c>
      <c r="O56" s="14">
        <v>1.2935305479999999</v>
      </c>
      <c r="P56" s="14">
        <v>1.0600609999999999E-3</v>
      </c>
      <c r="Q56" s="14">
        <v>-0.74497594199999995</v>
      </c>
      <c r="R56">
        <v>0</v>
      </c>
      <c r="S56" t="b">
        <v>1</v>
      </c>
      <c r="T56" s="1">
        <v>45322.666666666664</v>
      </c>
      <c r="U56" s="1">
        <v>45338.666666666664</v>
      </c>
      <c r="V56" s="14">
        <v>4.3835616438356165E-2</v>
      </c>
      <c r="W56">
        <v>3.7900000000000003E-2</v>
      </c>
      <c r="X56">
        <v>0.2</v>
      </c>
      <c r="Y56" s="14">
        <v>-3.4044495606168082E-2</v>
      </c>
      <c r="Z56">
        <v>5.7900000000000007E-2</v>
      </c>
      <c r="AA56" s="14">
        <v>4.3835616438356165E-2</v>
      </c>
      <c r="AB56" s="14">
        <v>4.1873913807217097E-2</v>
      </c>
      <c r="AC56" s="14">
        <v>-0.75241147888490501</v>
      </c>
      <c r="AD56" s="14">
        <v>0.22590182281875221</v>
      </c>
      <c r="AE56" s="14">
        <v>0.77409817718124785</v>
      </c>
      <c r="AF56" s="14">
        <v>1.7899999999999999E-2</v>
      </c>
      <c r="AG56" s="14">
        <v>-0.79428539269212206</v>
      </c>
      <c r="AH56" s="14">
        <v>0.2135146529320896</v>
      </c>
      <c r="AI56" s="14">
        <v>0.7864853470679104</v>
      </c>
      <c r="AJ56" s="14" t="s">
        <v>40</v>
      </c>
      <c r="AK56" s="14">
        <v>178.48563178355425</v>
      </c>
      <c r="AL56" s="14">
        <v>178.48563178355425</v>
      </c>
      <c r="AM56" s="14">
        <v>-0.75241147888490501</v>
      </c>
      <c r="AN56" s="14">
        <v>-0.79428539269212206</v>
      </c>
    </row>
    <row r="57" spans="1:40" x14ac:dyDescent="0.25">
      <c r="A57" s="1">
        <v>45322.666666666664</v>
      </c>
      <c r="B57">
        <v>20240216</v>
      </c>
      <c r="C57">
        <v>4663.5</v>
      </c>
      <c r="D57" s="14">
        <v>4648.2287960000003</v>
      </c>
      <c r="E57" t="s">
        <v>40</v>
      </c>
      <c r="F57">
        <v>4850</v>
      </c>
      <c r="G57">
        <v>10</v>
      </c>
      <c r="H57" t="s">
        <v>41</v>
      </c>
      <c r="I57" s="3">
        <v>201.9</v>
      </c>
      <c r="J57" s="14">
        <v>203.9</v>
      </c>
      <c r="K57" s="14">
        <v>12.987671560000001</v>
      </c>
      <c r="L57" s="14">
        <v>0.64329366399999999</v>
      </c>
      <c r="M57" s="14">
        <v>203.1117381</v>
      </c>
      <c r="N57" s="14">
        <v>-0.94299545699999998</v>
      </c>
      <c r="O57" s="14">
        <v>0.99020850999999999</v>
      </c>
      <c r="P57" s="14">
        <v>7.5202299999999999E-4</v>
      </c>
      <c r="Q57" s="14">
        <v>-0.54737740000000001</v>
      </c>
      <c r="R57">
        <v>0</v>
      </c>
      <c r="S57" t="b">
        <v>1</v>
      </c>
      <c r="T57" s="1">
        <v>45322.666666666664</v>
      </c>
      <c r="U57" s="1">
        <v>45338.666666666664</v>
      </c>
      <c r="V57" s="14">
        <v>4.3835616438356165E-2</v>
      </c>
      <c r="W57">
        <v>3.7900000000000003E-2</v>
      </c>
      <c r="X57">
        <v>0.2</v>
      </c>
      <c r="Y57" s="14">
        <v>-3.9212465764610731E-2</v>
      </c>
      <c r="Z57">
        <v>5.7900000000000007E-2</v>
      </c>
      <c r="AA57" s="14">
        <v>4.3835616438356165E-2</v>
      </c>
      <c r="AB57" s="14">
        <v>4.1873913807217097E-2</v>
      </c>
      <c r="AC57" s="14">
        <v>-0.87582889293976063</v>
      </c>
      <c r="AD57" s="14">
        <v>0.19056153016825891</v>
      </c>
      <c r="AE57" s="14">
        <v>0.80943846983174106</v>
      </c>
      <c r="AF57" s="14">
        <v>1.7899999999999999E-2</v>
      </c>
      <c r="AG57" s="14">
        <v>-0.91770280674697768</v>
      </c>
      <c r="AH57" s="14">
        <v>0.17938723892425484</v>
      </c>
      <c r="AI57" s="14">
        <v>0.82061276107574521</v>
      </c>
      <c r="AJ57" s="14" t="s">
        <v>40</v>
      </c>
      <c r="AK57" s="14">
        <v>198.54887142016605</v>
      </c>
      <c r="AL57" s="14">
        <v>198.54887142016605</v>
      </c>
      <c r="AM57" s="14">
        <v>-0.87582889293976063</v>
      </c>
      <c r="AN57" s="14">
        <v>-0.91770280674697768</v>
      </c>
    </row>
    <row r="58" spans="1:40" x14ac:dyDescent="0.25">
      <c r="A58" s="1">
        <v>45322.666666666664</v>
      </c>
      <c r="B58">
        <v>20240216</v>
      </c>
      <c r="C58">
        <v>4663.5</v>
      </c>
      <c r="D58" s="14">
        <v>4648.2287960000003</v>
      </c>
      <c r="E58" t="s">
        <v>40</v>
      </c>
      <c r="F58">
        <v>4875</v>
      </c>
      <c r="G58">
        <v>10</v>
      </c>
      <c r="H58" t="s">
        <v>41</v>
      </c>
      <c r="I58" s="3">
        <v>226</v>
      </c>
      <c r="J58" s="14">
        <v>228.1</v>
      </c>
      <c r="K58" s="14">
        <v>13.2781094</v>
      </c>
      <c r="L58" s="14">
        <v>0.64329366399999999</v>
      </c>
      <c r="M58" s="14">
        <v>227.26747349999999</v>
      </c>
      <c r="N58" s="14">
        <v>-0.957821441</v>
      </c>
      <c r="O58" s="14">
        <v>0.75642984300000005</v>
      </c>
      <c r="P58" s="14">
        <v>5.2218000000000002E-4</v>
      </c>
      <c r="Q58" s="14">
        <v>-0.397270493</v>
      </c>
      <c r="R58">
        <v>0</v>
      </c>
      <c r="S58" t="b">
        <v>1</v>
      </c>
      <c r="T58" s="1">
        <v>45322.666666666664</v>
      </c>
      <c r="U58" s="1">
        <v>45338.666666666664</v>
      </c>
      <c r="V58" s="14">
        <v>4.3835616438356165E-2</v>
      </c>
      <c r="W58">
        <v>3.7900000000000003E-2</v>
      </c>
      <c r="X58">
        <v>0.2</v>
      </c>
      <c r="Y58" s="14">
        <v>-4.4353865265029324E-2</v>
      </c>
      <c r="Z58">
        <v>5.7900000000000007E-2</v>
      </c>
      <c r="AA58" s="14">
        <v>4.3835616438356165E-2</v>
      </c>
      <c r="AB58" s="14">
        <v>4.1873913807217097E-2</v>
      </c>
      <c r="AC58" s="14">
        <v>-0.99861176735864177</v>
      </c>
      <c r="AD58" s="14">
        <v>0.15899139875117688</v>
      </c>
      <c r="AE58" s="14">
        <v>0.84100860124882315</v>
      </c>
      <c r="AF58" s="14">
        <v>1.7899999999999999E-2</v>
      </c>
      <c r="AG58" s="14">
        <v>-1.0404856811658589</v>
      </c>
      <c r="AH58" s="14">
        <v>0.14905715654427051</v>
      </c>
      <c r="AI58" s="14">
        <v>0.85094284345572946</v>
      </c>
      <c r="AJ58" s="14" t="s">
        <v>40</v>
      </c>
      <c r="AK58" s="14">
        <v>219.41653415546898</v>
      </c>
      <c r="AL58" s="14">
        <v>219.41653415546898</v>
      </c>
      <c r="AM58" s="14">
        <v>-0.99861176735864177</v>
      </c>
      <c r="AN58" s="14">
        <v>-1.0404856811658589</v>
      </c>
    </row>
    <row r="59" spans="1:40" x14ac:dyDescent="0.25">
      <c r="A59" s="1">
        <v>45322.666666666664</v>
      </c>
      <c r="B59">
        <v>20240216</v>
      </c>
      <c r="C59">
        <v>4663.5</v>
      </c>
      <c r="D59" s="14">
        <v>4648.2287960000003</v>
      </c>
      <c r="E59" t="s">
        <v>40</v>
      </c>
      <c r="F59">
        <v>4900</v>
      </c>
      <c r="G59">
        <v>10</v>
      </c>
      <c r="H59" t="s">
        <v>41</v>
      </c>
      <c r="I59" s="3">
        <v>250.5</v>
      </c>
      <c r="J59" s="14">
        <v>252.5</v>
      </c>
      <c r="K59" s="14">
        <v>13.632033740000001</v>
      </c>
      <c r="L59" s="14">
        <v>0.64329366399999999</v>
      </c>
      <c r="M59" s="14">
        <v>251.70353370000001</v>
      </c>
      <c r="N59" s="14">
        <v>-0.96797173700000005</v>
      </c>
      <c r="O59" s="14">
        <v>0.58220022100000002</v>
      </c>
      <c r="P59" s="14">
        <v>3.58332E-4</v>
      </c>
      <c r="Q59" s="14">
        <v>-0.28734303100000003</v>
      </c>
      <c r="R59">
        <v>0</v>
      </c>
      <c r="S59" t="b">
        <v>1</v>
      </c>
      <c r="T59" s="1">
        <v>45322.666666666664</v>
      </c>
      <c r="U59" s="1">
        <v>45338.666666666664</v>
      </c>
      <c r="V59" s="14">
        <v>4.3835616438356165E-2</v>
      </c>
      <c r="W59">
        <v>3.7900000000000003E-2</v>
      </c>
      <c r="X59">
        <v>0.2</v>
      </c>
      <c r="Y59" s="14">
        <v>-4.9468965931799752E-2</v>
      </c>
      <c r="Z59">
        <v>5.7900000000000007E-2</v>
      </c>
      <c r="AA59" s="14">
        <v>4.3835616438356165E-2</v>
      </c>
      <c r="AB59" s="14">
        <v>4.1873913807217097E-2</v>
      </c>
      <c r="AC59" s="14">
        <v>-1.1207665936383107</v>
      </c>
      <c r="AD59" s="14">
        <v>0.13119361370574933</v>
      </c>
      <c r="AE59" s="14">
        <v>0.86880638629425067</v>
      </c>
      <c r="AF59" s="14">
        <v>1.7899999999999999E-2</v>
      </c>
      <c r="AG59" s="14">
        <v>-1.1626405074455277</v>
      </c>
      <c r="AH59" s="14">
        <v>0.12248769429504634</v>
      </c>
      <c r="AI59" s="14">
        <v>0.87751230570495364</v>
      </c>
      <c r="AJ59" s="14" t="s">
        <v>40</v>
      </c>
      <c r="AK59" s="14">
        <v>240.9940710007927</v>
      </c>
      <c r="AL59" s="14">
        <v>240.9940710007927</v>
      </c>
      <c r="AM59" s="14">
        <v>-1.1207665936383107</v>
      </c>
      <c r="AN59" s="14">
        <v>-1.1626405074455277</v>
      </c>
    </row>
    <row r="60" spans="1:40" x14ac:dyDescent="0.25">
      <c r="A60" s="1">
        <v>45322.666666666664</v>
      </c>
      <c r="B60">
        <v>20240216</v>
      </c>
      <c r="C60">
        <v>4663.5</v>
      </c>
      <c r="D60" s="14">
        <v>4648.2287960000003</v>
      </c>
      <c r="E60" t="s">
        <v>40</v>
      </c>
      <c r="F60">
        <v>4925</v>
      </c>
      <c r="G60">
        <v>10</v>
      </c>
      <c r="H60" t="s">
        <v>41</v>
      </c>
      <c r="I60" s="3">
        <v>275.10000000000002</v>
      </c>
      <c r="J60" s="14">
        <v>277.10000000000002</v>
      </c>
      <c r="K60" s="14">
        <v>14.04846858</v>
      </c>
      <c r="L60" s="14">
        <v>0.64329366399999999</v>
      </c>
      <c r="M60" s="14">
        <v>276.32076530000001</v>
      </c>
      <c r="N60" s="14">
        <v>-0.97487330500000002</v>
      </c>
      <c r="O60" s="14">
        <v>0.455188325</v>
      </c>
      <c r="P60" s="14">
        <v>2.4731299999999998E-4</v>
      </c>
      <c r="Q60" s="14">
        <v>-0.21061966700000001</v>
      </c>
      <c r="R60">
        <v>0</v>
      </c>
      <c r="S60" t="b">
        <v>1</v>
      </c>
      <c r="T60" s="1">
        <v>45322.666666666664</v>
      </c>
      <c r="U60" s="1">
        <v>45338.666666666664</v>
      </c>
      <c r="V60" s="14">
        <v>4.3835616438356165E-2</v>
      </c>
      <c r="W60">
        <v>3.7900000000000003E-2</v>
      </c>
      <c r="X60">
        <v>0.2</v>
      </c>
      <c r="Y60" s="14">
        <v>-5.4558035439271062E-2</v>
      </c>
      <c r="Z60">
        <v>5.7900000000000007E-2</v>
      </c>
      <c r="AA60" s="14">
        <v>4.3835616438356165E-2</v>
      </c>
      <c r="AB60" s="14">
        <v>4.1873913807217097E-2</v>
      </c>
      <c r="AC60" s="14">
        <v>-1.2422997641678395</v>
      </c>
      <c r="AD60" s="14">
        <v>0.10706299117350244</v>
      </c>
      <c r="AE60" s="14">
        <v>0.89293700882649751</v>
      </c>
      <c r="AF60" s="14">
        <v>1.7899999999999999E-2</v>
      </c>
      <c r="AG60" s="14">
        <v>-1.2841736779750565</v>
      </c>
      <c r="AH60" s="14">
        <v>9.9540596484917351E-2</v>
      </c>
      <c r="AI60" s="14">
        <v>0.90045940351508269</v>
      </c>
      <c r="AJ60" s="14" t="s">
        <v>40</v>
      </c>
      <c r="AK60" s="14">
        <v>263.1891576953567</v>
      </c>
      <c r="AL60" s="14">
        <v>263.1891576953567</v>
      </c>
      <c r="AM60" s="14">
        <v>-1.2422997641678395</v>
      </c>
      <c r="AN60" s="14">
        <v>-1.2841736779750565</v>
      </c>
    </row>
    <row r="61" spans="1:40" x14ac:dyDescent="0.25">
      <c r="A61" s="1">
        <v>45322.666666666664</v>
      </c>
      <c r="B61">
        <v>20240216</v>
      </c>
      <c r="C61">
        <v>4663.5</v>
      </c>
      <c r="D61" s="14">
        <v>4648.2287960000003</v>
      </c>
      <c r="E61" t="s">
        <v>40</v>
      </c>
      <c r="F61">
        <v>4950</v>
      </c>
      <c r="G61">
        <v>10</v>
      </c>
      <c r="H61" t="s">
        <v>41</v>
      </c>
      <c r="I61" s="3">
        <v>299.89999999999998</v>
      </c>
      <c r="J61" s="14">
        <v>302</v>
      </c>
      <c r="K61" s="14">
        <v>14.506366140000001</v>
      </c>
      <c r="L61" s="14">
        <v>0.64329366399999999</v>
      </c>
      <c r="M61" s="14">
        <v>301.0474294</v>
      </c>
      <c r="N61" s="14">
        <v>-0.97968083100000003</v>
      </c>
      <c r="O61" s="14">
        <v>0.36147293200000002</v>
      </c>
      <c r="P61" s="14">
        <v>1.75563E-4</v>
      </c>
      <c r="Q61" s="14">
        <v>-0.15942010500000001</v>
      </c>
      <c r="R61">
        <v>0</v>
      </c>
      <c r="S61" t="b">
        <v>1</v>
      </c>
      <c r="T61" s="1">
        <v>45322.666666666664</v>
      </c>
      <c r="U61" s="1">
        <v>45338.666666666664</v>
      </c>
      <c r="V61" s="14">
        <v>4.3835616438356165E-2</v>
      </c>
      <c r="W61">
        <v>3.7900000000000003E-2</v>
      </c>
      <c r="X61">
        <v>0.2</v>
      </c>
      <c r="Y61" s="14">
        <v>-5.9621337395817778E-2</v>
      </c>
      <c r="Z61">
        <v>5.7900000000000007E-2</v>
      </c>
      <c r="AA61" s="14">
        <v>4.3835616438356165E-2</v>
      </c>
      <c r="AB61" s="14">
        <v>4.1873913807217097E-2</v>
      </c>
      <c r="AC61" s="14">
        <v>-1.3632175742358834</v>
      </c>
      <c r="AD61" s="14">
        <v>8.6406975076299741E-2</v>
      </c>
      <c r="AE61" s="14">
        <v>0.91359302492370031</v>
      </c>
      <c r="AF61" s="14">
        <v>1.7899999999999999E-2</v>
      </c>
      <c r="AG61" s="14">
        <v>-1.4050914880431005</v>
      </c>
      <c r="AH61" s="14">
        <v>7.9997037460543124E-2</v>
      </c>
      <c r="AI61" s="14">
        <v>0.9200029625394569</v>
      </c>
      <c r="AJ61" s="14" t="s">
        <v>40</v>
      </c>
      <c r="AK61" s="14">
        <v>285.91397152151967</v>
      </c>
      <c r="AL61" s="14">
        <v>285.91397152151967</v>
      </c>
      <c r="AM61" s="14">
        <v>-1.3632175742358834</v>
      </c>
      <c r="AN61" s="14">
        <v>-1.4050914880431005</v>
      </c>
    </row>
    <row r="62" spans="1:40" x14ac:dyDescent="0.25">
      <c r="A62" s="1">
        <v>45322.666666666664</v>
      </c>
      <c r="B62">
        <v>20240216</v>
      </c>
      <c r="C62">
        <v>4663.5</v>
      </c>
      <c r="D62" s="14">
        <v>4648.2287960000003</v>
      </c>
      <c r="E62" t="s">
        <v>40</v>
      </c>
      <c r="F62">
        <v>4975</v>
      </c>
      <c r="G62">
        <v>10</v>
      </c>
      <c r="H62" t="s">
        <v>41</v>
      </c>
      <c r="I62" s="3">
        <v>324.7</v>
      </c>
      <c r="J62" s="14">
        <v>326.8</v>
      </c>
      <c r="K62" s="14">
        <v>14.985100689999999</v>
      </c>
      <c r="L62" s="14">
        <v>0.64329366399999999</v>
      </c>
      <c r="M62" s="14">
        <v>325.84080970000002</v>
      </c>
      <c r="N62" s="14">
        <v>-0.98314337500000004</v>
      </c>
      <c r="O62" s="14">
        <v>0.29060911</v>
      </c>
      <c r="P62" s="14">
        <v>1.27546E-4</v>
      </c>
      <c r="Q62" s="14">
        <v>-0.12358854800000001</v>
      </c>
      <c r="R62">
        <v>0</v>
      </c>
      <c r="S62" t="b">
        <v>1</v>
      </c>
      <c r="T62" s="1">
        <v>45322.666666666664</v>
      </c>
      <c r="U62" s="1">
        <v>45338.666666666664</v>
      </c>
      <c r="V62" s="14">
        <v>4.3835616438356165E-2</v>
      </c>
      <c r="W62">
        <v>3.7900000000000003E-2</v>
      </c>
      <c r="X62">
        <v>0.2</v>
      </c>
      <c r="Y62" s="14">
        <v>-6.465913142577491E-2</v>
      </c>
      <c r="Z62">
        <v>5.7900000000000007E-2</v>
      </c>
      <c r="AA62" s="14">
        <v>4.3835616438356165E-2</v>
      </c>
      <c r="AB62" s="14">
        <v>4.1873913807217097E-2</v>
      </c>
      <c r="AC62" s="14">
        <v>-1.483526223987387</v>
      </c>
      <c r="AD62" s="14">
        <v>6.8967327186810229E-2</v>
      </c>
      <c r="AE62" s="14">
        <v>0.9310326728131898</v>
      </c>
      <c r="AF62" s="14">
        <v>1.7899999999999999E-2</v>
      </c>
      <c r="AG62" s="14">
        <v>-1.5254001377946043</v>
      </c>
      <c r="AH62" s="14">
        <v>6.3579662209315629E-2</v>
      </c>
      <c r="AI62" s="14">
        <v>0.93642033779068434</v>
      </c>
      <c r="AJ62" s="14" t="s">
        <v>40</v>
      </c>
      <c r="AK62" s="14">
        <v>309.08692749974762</v>
      </c>
      <c r="AL62" s="14">
        <v>309.08692749974762</v>
      </c>
      <c r="AM62" s="14">
        <v>-1.483526223987387</v>
      </c>
      <c r="AN62" s="14">
        <v>-1.5254001377946043</v>
      </c>
    </row>
    <row r="63" spans="1:40" x14ac:dyDescent="0.25">
      <c r="A63" s="1">
        <v>45322.666666666664</v>
      </c>
      <c r="B63">
        <v>20240216</v>
      </c>
      <c r="C63">
        <v>4663.5</v>
      </c>
      <c r="D63" s="14">
        <v>4648.2287960000003</v>
      </c>
      <c r="E63" t="s">
        <v>40</v>
      </c>
      <c r="F63">
        <v>5000</v>
      </c>
      <c r="G63">
        <v>10</v>
      </c>
      <c r="H63" t="s">
        <v>41</v>
      </c>
      <c r="I63" s="3">
        <v>349.5</v>
      </c>
      <c r="J63" s="14">
        <v>351.5</v>
      </c>
      <c r="K63" s="14">
        <v>15.48434761</v>
      </c>
      <c r="L63" s="14">
        <v>0.64329366399999999</v>
      </c>
      <c r="M63" s="14">
        <v>350.68012929999998</v>
      </c>
      <c r="N63" s="14">
        <v>-0.98565881</v>
      </c>
      <c r="O63" s="14">
        <v>0.23692753799999999</v>
      </c>
      <c r="P63" s="21">
        <v>9.3510380347403899E-5</v>
      </c>
      <c r="Q63" s="14">
        <v>-9.6747348999999996E-2</v>
      </c>
      <c r="R63">
        <v>0</v>
      </c>
      <c r="S63" t="b">
        <v>1</v>
      </c>
      <c r="T63" s="1">
        <v>45322.666666666664</v>
      </c>
      <c r="U63" s="1">
        <v>45338.666666666664</v>
      </c>
      <c r="V63" s="14">
        <v>4.3835616438356165E-2</v>
      </c>
      <c r="W63">
        <v>3.7900000000000003E-2</v>
      </c>
      <c r="X63">
        <v>0.2</v>
      </c>
      <c r="Y63" s="14">
        <v>-6.9671673249319263E-2</v>
      </c>
      <c r="Z63">
        <v>5.7900000000000007E-2</v>
      </c>
      <c r="AA63" s="14">
        <v>4.3835616438356165E-2</v>
      </c>
      <c r="AB63" s="14">
        <v>4.1873913807217097E-2</v>
      </c>
      <c r="AC63" s="14">
        <v>-1.6032318203312479</v>
      </c>
      <c r="AD63" s="14">
        <v>5.4441741341606058E-2</v>
      </c>
      <c r="AE63" s="14">
        <v>0.94555825865839394</v>
      </c>
      <c r="AF63" s="14">
        <v>1.7899999999999999E-2</v>
      </c>
      <c r="AG63" s="14">
        <v>-1.6451057341384649</v>
      </c>
      <c r="AH63" s="14">
        <v>4.9974004154445334E-2</v>
      </c>
      <c r="AI63" s="14">
        <v>0.95002599584555469</v>
      </c>
      <c r="AJ63" s="14" t="s">
        <v>40</v>
      </c>
      <c r="AK63" s="14">
        <v>332.63386908779194</v>
      </c>
      <c r="AL63" s="14">
        <v>332.63386908779194</v>
      </c>
      <c r="AM63" s="14">
        <v>-1.6032318203312479</v>
      </c>
      <c r="AN63" s="14">
        <v>-1.6451057341384649</v>
      </c>
    </row>
    <row r="64" spans="1:40" x14ac:dyDescent="0.25">
      <c r="A64" s="1">
        <v>45322.666666666664</v>
      </c>
      <c r="B64">
        <v>20240216</v>
      </c>
      <c r="C64">
        <v>4663.5</v>
      </c>
      <c r="D64" s="14">
        <v>4648.2287960000003</v>
      </c>
      <c r="E64" t="s">
        <v>40</v>
      </c>
      <c r="F64">
        <v>5025</v>
      </c>
      <c r="G64">
        <v>10</v>
      </c>
      <c r="H64" t="s">
        <v>41</v>
      </c>
      <c r="I64" s="3">
        <v>374.4</v>
      </c>
      <c r="J64" s="14">
        <v>376.5</v>
      </c>
      <c r="K64" s="14">
        <v>16.0037883</v>
      </c>
      <c r="L64" s="14">
        <v>0.64329366399999999</v>
      </c>
      <c r="M64" s="14">
        <v>375.55140419999998</v>
      </c>
      <c r="N64" s="14">
        <v>-0.98750423099999995</v>
      </c>
      <c r="O64" s="14">
        <v>0.19609821399999999</v>
      </c>
      <c r="P64" s="21">
        <v>6.9250804236216105E-5</v>
      </c>
      <c r="Q64" s="14">
        <v>-7.6535662000000004E-2</v>
      </c>
      <c r="R64">
        <v>0</v>
      </c>
      <c r="S64" t="b">
        <v>1</v>
      </c>
      <c r="T64" s="1">
        <v>45322.666666666664</v>
      </c>
      <c r="U64" s="1">
        <v>45338.666666666664</v>
      </c>
      <c r="V64" s="14">
        <v>4.3835616438356165E-2</v>
      </c>
      <c r="W64">
        <v>3.7900000000000003E-2</v>
      </c>
      <c r="X64">
        <v>0.2</v>
      </c>
      <c r="Y64" s="14">
        <v>-7.4659214760358264E-2</v>
      </c>
      <c r="Z64">
        <v>5.7900000000000007E-2</v>
      </c>
      <c r="AA64" s="14">
        <v>4.3835616438356165E-2</v>
      </c>
      <c r="AB64" s="14">
        <v>4.1873913807217097E-2</v>
      </c>
      <c r="AC64" s="14">
        <v>-1.7223403788003964</v>
      </c>
      <c r="AD64" s="14">
        <v>4.2503938578928896E-2</v>
      </c>
      <c r="AE64" s="14">
        <v>0.95749606142107113</v>
      </c>
      <c r="AF64" s="14">
        <v>1.7899999999999999E-2</v>
      </c>
      <c r="AG64" s="14">
        <v>-1.7642142926076134</v>
      </c>
      <c r="AH64" s="14">
        <v>3.8847953648974275E-2</v>
      </c>
      <c r="AI64" s="14">
        <v>0.96115204635102569</v>
      </c>
      <c r="AJ64" s="14" t="s">
        <v>40</v>
      </c>
      <c r="AK64" s="14">
        <v>356.48874631367289</v>
      </c>
      <c r="AL64" s="14">
        <v>356.48874631367289</v>
      </c>
      <c r="AM64" s="14">
        <v>-1.7223403788003964</v>
      </c>
      <c r="AN64" s="14">
        <v>-1.7642142926076134</v>
      </c>
    </row>
    <row r="65" spans="1:40" x14ac:dyDescent="0.25">
      <c r="A65" s="1">
        <v>45322.666666666664</v>
      </c>
      <c r="B65">
        <v>20240216</v>
      </c>
      <c r="C65">
        <v>4663.5</v>
      </c>
      <c r="D65" s="14">
        <v>4648.2287960000003</v>
      </c>
      <c r="E65" t="s">
        <v>40</v>
      </c>
      <c r="F65">
        <v>5050</v>
      </c>
      <c r="G65">
        <v>10</v>
      </c>
      <c r="H65" t="s">
        <v>41</v>
      </c>
      <c r="I65" s="3">
        <v>399.3</v>
      </c>
      <c r="J65" s="14">
        <v>401.4</v>
      </c>
      <c r="K65" s="14">
        <v>16.543110039999998</v>
      </c>
      <c r="L65" s="14">
        <v>0.64329366399999999</v>
      </c>
      <c r="M65" s="14">
        <v>400.44517509999997</v>
      </c>
      <c r="N65" s="14">
        <v>-0.98887225400000001</v>
      </c>
      <c r="O65" s="14">
        <v>0.16487549000000001</v>
      </c>
      <c r="P65" s="21">
        <v>5.1821414657903897E-5</v>
      </c>
      <c r="Q65" s="14">
        <v>-6.1197968999999998E-2</v>
      </c>
      <c r="R65">
        <v>0</v>
      </c>
      <c r="S65" t="b">
        <v>1</v>
      </c>
      <c r="T65" s="1">
        <v>45322.666666666664</v>
      </c>
      <c r="U65" s="1">
        <v>45338.666666666664</v>
      </c>
      <c r="V65" s="14">
        <v>4.3835616438356165E-2</v>
      </c>
      <c r="W65">
        <v>3.7900000000000003E-2</v>
      </c>
      <c r="X65">
        <v>0.2</v>
      </c>
      <c r="Y65" s="14">
        <v>-7.9622004102487265E-2</v>
      </c>
      <c r="Z65">
        <v>5.7900000000000007E-2</v>
      </c>
      <c r="AA65" s="14">
        <v>4.3835616438356165E-2</v>
      </c>
      <c r="AB65" s="14">
        <v>4.1873913807217097E-2</v>
      </c>
      <c r="AC65" s="14">
        <v>-1.8408578253657482</v>
      </c>
      <c r="AD65" s="14">
        <v>3.2821198110950439E-2</v>
      </c>
      <c r="AE65" s="14">
        <v>0.96717880188904959</v>
      </c>
      <c r="AF65" s="14">
        <v>1.7899999999999999E-2</v>
      </c>
      <c r="AG65" s="14">
        <v>-1.8827317391729654</v>
      </c>
      <c r="AH65" s="14">
        <v>2.9868365929292238E-2</v>
      </c>
      <c r="AI65" s="14">
        <v>0.97013163407070779</v>
      </c>
      <c r="AJ65" s="14" t="s">
        <v>40</v>
      </c>
      <c r="AK65" s="14">
        <v>380.59384224610494</v>
      </c>
      <c r="AL65" s="14">
        <v>380.59384224610494</v>
      </c>
      <c r="AM65" s="14">
        <v>-1.8408578253657482</v>
      </c>
      <c r="AN65" s="14">
        <v>-1.8827317391729654</v>
      </c>
    </row>
    <row r="66" spans="1:40" x14ac:dyDescent="0.25">
      <c r="A66" s="1">
        <v>45322.666666666664</v>
      </c>
      <c r="B66">
        <v>20240216</v>
      </c>
      <c r="C66">
        <v>4663.5</v>
      </c>
      <c r="D66" s="14">
        <v>4648.2287960000003</v>
      </c>
      <c r="E66" t="s">
        <v>40</v>
      </c>
      <c r="F66">
        <v>5075</v>
      </c>
      <c r="G66">
        <v>10</v>
      </c>
      <c r="H66" t="s">
        <v>41</v>
      </c>
      <c r="I66" s="3">
        <v>424.2</v>
      </c>
      <c r="J66" s="14">
        <v>426.3</v>
      </c>
      <c r="K66" s="14">
        <v>17.102005819999999</v>
      </c>
      <c r="L66" s="14">
        <v>0.64329366399999999</v>
      </c>
      <c r="M66" s="14">
        <v>425.35499800000002</v>
      </c>
      <c r="N66" s="14">
        <v>-0.98989699499999995</v>
      </c>
      <c r="O66" s="14">
        <v>0.14085283300000001</v>
      </c>
      <c r="P66" s="21">
        <v>3.9176627024041899E-5</v>
      </c>
      <c r="Q66" s="14">
        <v>-4.9444109999999999E-2</v>
      </c>
      <c r="R66">
        <v>0</v>
      </c>
      <c r="S66" t="b">
        <v>1</v>
      </c>
      <c r="T66" s="1">
        <v>45322.666666666664</v>
      </c>
      <c r="U66" s="1">
        <v>45338.666666666664</v>
      </c>
      <c r="V66" s="14">
        <v>4.3835616438356165E-2</v>
      </c>
      <c r="W66">
        <v>3.7900000000000003E-2</v>
      </c>
      <c r="X66">
        <v>0.2</v>
      </c>
      <c r="Y66" s="14">
        <v>-8.4560285743069855E-2</v>
      </c>
      <c r="Z66">
        <v>5.7900000000000007E-2</v>
      </c>
      <c r="AA66" s="14">
        <v>4.3835616438356165E-2</v>
      </c>
      <c r="AB66" s="14">
        <v>4.1873913807217097E-2</v>
      </c>
      <c r="AC66" s="14">
        <v>-1.9587899982053325</v>
      </c>
      <c r="AD66" s="14">
        <v>2.5068692697155014E-2</v>
      </c>
      <c r="AE66" s="14">
        <v>0.97493130730284494</v>
      </c>
      <c r="AF66" s="14">
        <v>1.7899999999999999E-2</v>
      </c>
      <c r="AG66" s="14">
        <v>-2.0006639120125498</v>
      </c>
      <c r="AH66" s="14">
        <v>2.2714310487135767E-2</v>
      </c>
      <c r="AI66" s="14">
        <v>0.97728568951286421</v>
      </c>
      <c r="AJ66" s="14" t="s">
        <v>40</v>
      </c>
      <c r="AK66" s="14">
        <v>404.89962623886458</v>
      </c>
      <c r="AL66" s="14">
        <v>404.89962623886458</v>
      </c>
      <c r="AM66" s="14">
        <v>-1.9587899982053325</v>
      </c>
      <c r="AN66" s="14">
        <v>-2.0006639120125498</v>
      </c>
    </row>
    <row r="67" spans="1:40" x14ac:dyDescent="0.25">
      <c r="A67" s="1">
        <v>45322.666666666664</v>
      </c>
      <c r="B67">
        <v>20240216</v>
      </c>
      <c r="C67">
        <v>4663.5</v>
      </c>
      <c r="D67" s="14">
        <v>4648.2287960000003</v>
      </c>
      <c r="E67" t="s">
        <v>40</v>
      </c>
      <c r="F67">
        <v>5100</v>
      </c>
      <c r="G67">
        <v>10</v>
      </c>
      <c r="H67" t="s">
        <v>41</v>
      </c>
      <c r="I67" s="3">
        <v>449.1</v>
      </c>
      <c r="J67" s="14">
        <v>451.2</v>
      </c>
      <c r="K67" s="14">
        <v>17.680174269999998</v>
      </c>
      <c r="L67" s="14">
        <v>0.64329366399999999</v>
      </c>
      <c r="M67" s="14">
        <v>450.2764449</v>
      </c>
      <c r="N67" s="14">
        <v>-0.99067225599999997</v>
      </c>
      <c r="O67" s="14">
        <v>0.122255369</v>
      </c>
      <c r="P67" s="21">
        <v>2.99002846375196E-5</v>
      </c>
      <c r="Q67" s="14">
        <v>-4.0331263999999999E-2</v>
      </c>
      <c r="R67">
        <v>0</v>
      </c>
      <c r="S67" t="b">
        <v>1</v>
      </c>
      <c r="T67" s="1">
        <v>45322.666666666664</v>
      </c>
      <c r="U67" s="1">
        <v>45338.666666666664</v>
      </c>
      <c r="V67" s="14">
        <v>4.3835616438356165E-2</v>
      </c>
      <c r="W67">
        <v>3.7900000000000003E-2</v>
      </c>
      <c r="X67">
        <v>0.2</v>
      </c>
      <c r="Y67" s="14">
        <v>-8.947430054549893E-2</v>
      </c>
      <c r="Z67">
        <v>5.7900000000000007E-2</v>
      </c>
      <c r="AA67" s="14">
        <v>4.3835616438356165E-2</v>
      </c>
      <c r="AB67" s="14">
        <v>4.1873913807217097E-2</v>
      </c>
      <c r="AC67" s="14">
        <v>-2.0761426494299746</v>
      </c>
      <c r="AD67" s="14">
        <v>1.89403798130162E-2</v>
      </c>
      <c r="AE67" s="14">
        <v>0.98105962018698378</v>
      </c>
      <c r="AF67" s="14">
        <v>1.7899999999999999E-2</v>
      </c>
      <c r="AG67" s="14">
        <v>-2.1180165632371919</v>
      </c>
      <c r="AH67" s="14">
        <v>1.7086832481339805E-2</v>
      </c>
      <c r="AI67" s="14">
        <v>0.9829131675186602</v>
      </c>
      <c r="AJ67" s="14" t="s">
        <v>40</v>
      </c>
      <c r="AK67" s="14">
        <v>429.36432008814336</v>
      </c>
      <c r="AL67" s="14">
        <v>429.36432008814336</v>
      </c>
      <c r="AM67" s="14">
        <v>-2.0761426494299746</v>
      </c>
      <c r="AN67" s="14">
        <v>-2.1180165632371919</v>
      </c>
    </row>
    <row r="68" spans="1:40" x14ac:dyDescent="0.25">
      <c r="A68" s="1">
        <v>45322.666666666664</v>
      </c>
      <c r="B68">
        <v>20240216</v>
      </c>
      <c r="C68">
        <v>4663.5</v>
      </c>
      <c r="D68" s="14">
        <v>4648.2287960000003</v>
      </c>
      <c r="E68" t="s">
        <v>40</v>
      </c>
      <c r="F68">
        <v>5125</v>
      </c>
      <c r="G68">
        <v>10</v>
      </c>
      <c r="H68" t="s">
        <v>41</v>
      </c>
      <c r="I68" s="3">
        <v>474</v>
      </c>
      <c r="J68" s="14">
        <v>476.1</v>
      </c>
      <c r="K68" s="14">
        <v>18.27731949</v>
      </c>
      <c r="L68" s="14">
        <v>0.64329366399999999</v>
      </c>
      <c r="M68" s="14">
        <v>475.20644449999998</v>
      </c>
      <c r="N68" s="14">
        <v>-0.99126405399999995</v>
      </c>
      <c r="O68" s="14">
        <v>0.10777587299999999</v>
      </c>
      <c r="P68" s="21">
        <v>2.6014505251738399E-5</v>
      </c>
      <c r="Q68" s="14">
        <v>-3.7500235999999999E-2</v>
      </c>
      <c r="R68">
        <v>0</v>
      </c>
      <c r="S68" t="b">
        <v>1</v>
      </c>
      <c r="T68" s="1">
        <v>45322.666666666664</v>
      </c>
      <c r="U68" s="1">
        <v>45338.666666666664</v>
      </c>
      <c r="V68" s="14">
        <v>4.3835616438356165E-2</v>
      </c>
      <c r="W68">
        <v>3.7900000000000003E-2</v>
      </c>
      <c r="X68">
        <v>0.2</v>
      </c>
      <c r="Y68" s="14">
        <v>-9.4364285839690698E-2</v>
      </c>
      <c r="Z68">
        <v>5.7900000000000007E-2</v>
      </c>
      <c r="AA68" s="14">
        <v>4.3835616438356165E-2</v>
      </c>
      <c r="AB68" s="14">
        <v>4.1873913807217097E-2</v>
      </c>
      <c r="AC68" s="14">
        <v>-2.1929214467667779</v>
      </c>
      <c r="AD68" s="14">
        <v>1.4156519610560022E-2</v>
      </c>
      <c r="AE68" s="14">
        <v>0.98584348038944003</v>
      </c>
      <c r="AF68" s="14">
        <v>1.7899999999999999E-2</v>
      </c>
      <c r="AG68" s="14">
        <v>-2.2347953605739952</v>
      </c>
      <c r="AH68" s="14">
        <v>1.2715393290724609E-2</v>
      </c>
      <c r="AI68" s="14">
        <v>0.98728460670927543</v>
      </c>
      <c r="AJ68" s="14" t="s">
        <v>40</v>
      </c>
      <c r="AK68" s="14">
        <v>453.95326260232287</v>
      </c>
      <c r="AL68" s="14">
        <v>453.95326260232287</v>
      </c>
      <c r="AM68" s="14">
        <v>-2.1929214467667779</v>
      </c>
      <c r="AN68" s="14">
        <v>-2.2347953605739952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Pricing</vt:lpstr>
      <vt:lpstr>Vola - EUROStoxx50_Options</vt:lpstr>
      <vt:lpstr>Imp_Vol - EUROStoxx50_Options</vt:lpstr>
      <vt:lpstr>EUROStoxx50_Options_2024-01_SHO</vt:lpstr>
      <vt:lpstr>Calls</vt:lpstr>
      <vt:lpstr>Puts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Florian Munz</dc:creator>
  <cp:keywords/>
  <dc:description/>
  <cp:lastModifiedBy>Florian Munz</cp:lastModifiedBy>
  <cp:revision/>
  <dcterms:created xsi:type="dcterms:W3CDTF">2024-05-04T21:00:38Z</dcterms:created>
  <dcterms:modified xsi:type="dcterms:W3CDTF">2024-05-26T01:53:39Z</dcterms:modified>
  <cp:category/>
  <cp:contentStatus/>
</cp:coreProperties>
</file>